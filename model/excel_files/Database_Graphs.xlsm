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burohappold.sharepoint.com/sites/Direction/designtechnology/Lists/DevDocs/00728_STR Steel Re-use/04_Dev/ReuseSchemeTool/ReuseSchemeTool/model/excel_files/"/>
    </mc:Choice>
  </mc:AlternateContent>
  <xr:revisionPtr revIDLastSave="65" documentId="13_ncr:1_{203D86F9-F497-4EDB-8733-30B090F77375}" xr6:coauthVersionLast="47" xr6:coauthVersionMax="47" xr10:uidLastSave="{DB5112BF-B0F5-469B-93DD-9B513330B7DD}"/>
  <bookViews>
    <workbookView xWindow="-108" yWindow="-108" windowWidth="23256" windowHeight="14160" firstSheet="1" activeTab="3" xr2:uid="{376705C5-C65B-43F6-A5BB-8D91ED0DB7AB}"/>
  </bookViews>
  <sheets>
    <sheet name="BHoM_CallersHidden" sheetId="10" state="hidden" r:id="rId1"/>
    <sheet name="Inputs" sheetId="14" r:id="rId2"/>
    <sheet name="Total Table" sheetId="20" state="hidden" r:id="rId3"/>
    <sheet name="Steel Reuse Dashboard" sheetId="21" r:id="rId4"/>
  </sheets>
  <functionGroups builtInGroupCount="19"/>
  <definedNames>
    <definedName name="_xlnm._FilterDatabase" localSheetId="1" hidden="1">Inputs!$A$1:$E$1</definedName>
    <definedName name="_xlnm._FilterDatabase" localSheetId="2" hidden="1">'Total Table'!$A$1:$I$1854</definedName>
    <definedName name="endCutOffLength" localSheetId="3">'Steel Reuse Dashboard'!$E$3</definedName>
    <definedName name="endCutOffLength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20" l="1" a="1"/>
  <c r="D1" i="20" s="1"/>
  <c r="E1" i="20" s="1" a="1"/>
  <c r="E1" i="20" s="1"/>
  <c r="F1" i="20" s="1" a="1"/>
  <c r="F1" i="20" s="1"/>
  <c r="C1" i="20" a="1"/>
  <c r="C1" i="20" s="1"/>
  <c r="A1" i="20" a="1"/>
  <c r="A1" i="20" s="1"/>
  <c r="B1" i="20" a="1"/>
  <c r="B1" i="20" s="1"/>
  <c r="I1" i="20" a="1"/>
  <c r="I1" i="20" s="1"/>
  <c r="G1" i="20" l="1" a="1"/>
  <c r="G1" i="20" s="1"/>
  <c r="K1" i="20" a="1"/>
  <c r="K1" i="20" s="1"/>
  <c r="P11" i="20"/>
  <c r="P7" i="20" l="1"/>
  <c r="L1" i="20" a="1"/>
  <c r="L1" i="20" s="1"/>
  <c r="M1" i="20" s="1" a="1"/>
  <c r="M1" i="20" s="1"/>
  <c r="H1" i="20" s="1" a="1"/>
  <c r="H1" i="20" s="1"/>
  <c r="P8" i="20"/>
  <c r="P6" i="20" l="1"/>
  <c r="P13" i="20"/>
  <c r="P12" i="20" s="1"/>
  <c r="P2" i="20" l="1"/>
  <c r="P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<sst xmlns="http://schemas.openxmlformats.org/spreadsheetml/2006/main" count="56" uniqueCount="34">
  <si>
    <t>uEqWJAer</t>
  </si>
  <si>
    <t>ExplodeCaller</t>
  </si>
  <si>
    <t>BHoM.Explode</t>
  </si>
  <si>
    <t>GetPropertyCaller</t>
  </si>
  <si>
    <t>Engine.GetProperty</t>
  </si>
  <si>
    <t>QueryCaller</t>
  </si>
  <si>
    <t>Query.Library.Library?by_String</t>
  </si>
  <si>
    <t>Section Family</t>
  </si>
  <si>
    <t>Section Name</t>
  </si>
  <si>
    <t>Section Area</t>
  </si>
  <si>
    <t>Total Length</t>
  </si>
  <si>
    <t>Summary Graphs - Excluded in Data</t>
  </si>
  <si>
    <t>Shown</t>
  </si>
  <si>
    <t>Excluded</t>
  </si>
  <si>
    <t>Summary Graphs - Proportion of NA</t>
  </si>
  <si>
    <t>List</t>
  </si>
  <si>
    <t>Known</t>
  </si>
  <si>
    <t>YES</t>
  </si>
  <si>
    <t>Unknown</t>
  </si>
  <si>
    <t>Total</t>
  </si>
  <si>
    <t>Planned for Reuse</t>
  </si>
  <si>
    <t>Reused</t>
  </si>
  <si>
    <t>Remaining Known</t>
  </si>
  <si>
    <t>Total (excl. NA)</t>
  </si>
  <si>
    <t>Reuse Strategy</t>
  </si>
  <si>
    <t>INPUT VARIABLES</t>
  </si>
  <si>
    <t>Element cutoff at either end</t>
  </si>
  <si>
    <t>m</t>
  </si>
  <si>
    <t xml:space="preserve">Round down element lengths </t>
  </si>
  <si>
    <t>Remove section from graph if &lt;</t>
  </si>
  <si>
    <t>-</t>
  </si>
  <si>
    <t>{ "SelectedItem" : { "_t" : "System.Reflection.MethodBase", "TypeName" : "{ \"_t\" : \"System.Type\", \"Name\" : \"BH.Engine.Excel.Query, ExcelUI_Engine, Version=8.0.0.0, Culture=neutral, PublicKeyToken=null\", \"_bhomVersion\" : \"8.1\" }", "MethodName" : "Explode", "Parameters" : ["{ \"_t\" : \"System.Type\", \"Name\" : \"System.Collections.Generic.List`1, mscorlib, Version=4.0.0.0, Culture=neutral, PublicKeyToken=b77a5c561934e089\", \"GenericArguments\" : [{ \"_t\" : \"System.Type\", \"Name\" : \"System.Object, mscorlib, Version=4.0.0.0, Culture=neutral, PublicKeyToken=b77a5c561934e089\", \"_bhomVersion\" : \"8.1\" }], \"_bhomVersion\" : \"8.1\" }", "{ \"_t\" : \"System.Type\", \"Name\" : \"System.Boolean, mscorlib, Version=4.0.0.0, Culture=neutral, PublicKeyToken=b77a5c561934e089\", \"_bhomVersion\" : \"8.1\" }", "{ \"_t\" : \"System.Type\", \"Name\" : \"System.Boolean, mscorlib, Version=4.0.0.0, Culture=neutral, PublicKeyToken=b77a5c561934e089\", \"_bhomVersion\" : \"8.1\" }", "{ \"_t\" : \"System.Type\", \"Name\" : \"System.Boolean, mscorlib, Version=4.0.0.0, Culture=neutral, PublicKeyToken=b77a5c561934e089\", \"_bhomVersion\" : \"8.1\" }"], "_bhomVersion" : "8.1" }, "InputParams"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"System.Object, mscorlib, Version=4.0.0.0, Culture=neutral, PublicKeyToken=b77a5c561934e089", "_bhomVersion" : "8.1" }], "_bhomVersion" : "8.1" }, "Description" : "Objects to explode\r\nThis is a List&lt;Object&gt;", "Kind" : "Input", "HasDefaultValue" : false, "DefaultValue" : null, "IsRequired" : true, "IsSelected" : true, "DefaultValueWarning" : "", "BHoM_Guid" : "8a7fc126-f34f-45e9-822b-e6c67a887385", "Name" : "objects" }, { "_t" : "BH.oM.UI.ParamInfo", "DataType" : { "_t" : "System.Type", "Name" : "System.Boolean, mscorlib, Version=4.0.0.0, Culture=neutral, PublicKeyToken=b77a5c561934e089", "_bhomVersion" : "8.1" }, "Description" : "Include the name of the properties\r\nThis is a Boolean", "Kind" : "Input", "HasDefaultValue" : true, "DefaultValue" : false, "IsRequired" : false, "IsSelected" : true, "DefaultValueWarning" : "", "BHoM_Guid" : "e405af83-0ba7-4c86-8919-734302c73c6c", "Name" : "includePropertyNames" }, { "_t" : "BH.oM.UI.ParamInfo", "DataType" : { "_t" : "System.Type", "Name" : "System.Boolean, mscorlib, Version=4.0.0.0, Culture=neutral, PublicKeyToken=b77a5c561934e089", "_bhomVersion" : "8.1" }, "Description" : "Explode inner objects\r\nThis is a Boolean", "Kind" : "Input", "HasDefaultValue" : true, "DefaultValue" : false, "IsRequired" : false, "IsSelected" : true, "DefaultValueWarning" : "", "BHoM_Guid" : "bd27b183-2f2a-48f9-8ec2-12e6e5504a1b", "Name" : "goDeep" }, { "_t" : "BH.oM.UI.ParamInfo", "DataType" : { "_t" : "System.Type", "Name" : "System.Boolean, mscorlib, Version=4.0.0.0, Culture=neutral, PublicKeyToken=b77a5c561934e089", "_bhomVersion" : "8.1" }, "Description" : "Transpose the resulting table (i.e. one object per column instead of per row)\r\nThis is a Boolean", "Kind" : "Input", "HasDefaultValue" : true, "DefaultValue" : false, "IsRequired" : false, "IsSelected" : true, "DefaultValueWarning" : "", "BHoM_Guid" : "1a615b40-ad09-4f8d-b39e-71d9f7bca8a1", "Name" : "transpose"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"8.1" }, "Description" : "This is a Object", "Kind" : "Output", "HasDefaultValue" : false, "DefaultValue" : null, "IsRequired" : true, "IsSelected" : true, "DefaultValueWarning" : "", "BHoM_Guid" : "99fb260b-eeef-44df-be9c-0eb2acccf030", "Name" : "O" }] }, "BHoM_Guid" : "09a375fa-9998-4035-9c48-3eb0a72e4475", "_bhomVersion" : "8.1" }</t>
  </si>
  <si>
    <t>{ "SelectedItem" : { "_t" : "System.Reflection.MethodBase", "TypeName" : "{ \"_t\" : \"System.Type\", \"Name\" : \"BH.UI.Base.Components.GetPropertyCaller, BHoM_UI, Version=8.0.0.0, Culture=neutral, PublicKeyToken=null\", \"_bhomVersion\" : \"8.1\" }", "MethodName" : "GetProperty", "Parameters" : ["{ \"_t\" : \"System.Type\", \"Name\" : \"System.Object, mscorlib, Version=4.0.0.0, Culture=neutral, PublicKeyToken=b77a5c561934e089\", \"_bhomVersion\" : \"8.1\" }", "{ \"_t\" : \"System.Type\", \"Name\" : \"System.String, mscorlib, Version=4.0.0.0, Culture=neutral, PublicKeyToken=b77a5c561934e089\", \"_bhomVersion\" : \"8.1\" }"], "_bhomVersion" : "8.1" }, "InputParams"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"8.1" }, "Description" : "Object to extract the property value from. Can be a list of objects.\r\nThis is a Object", "Kind" : "Input", "HasDefaultValue" : false, "DefaultValue" : null, "IsRequired" : true, "IsSelected" : true, "DefaultValueWarning" : "", "BHoM_Guid" : "3e83cdf8-d1dc-439b-a087-5ff0926ef6f4", "Name" : "obj" }, { "_t" : "BH.oM.UI.ParamInfo", "DataType" : { "_t" : "System.Type", "Name" : "System.String, mscorlib, Version=4.0.0.0, Culture=neutral, PublicKeyToken=b77a5c561934e089", "_bhomVersion" : "8.1" }, "Description" : "Name of the property to extract. Can be a list of names.\nYou can use the dot notation to access nested properties: e.g. for e.g. for a BH.oM.Structure.Bar, you can input 'StartNode.Position' to get the BH.oM.Geometry.Point.\nTo know what property names you can specify for a given object, connect your object to a BHoM `Explode` component.\r\nThis is a String", "Kind" : "Input", "HasDefaultValue" : false, "DefaultValue" : null, "IsRequired" : true, "IsSelected" : true, "DefaultValueWarning" : "", "BHoM_Guid" : "83a9591d-9e79-4279-b568-b596c0f3d804", "Name" : "propName"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"8.1" }, "Description" : "Extracted values.\r\nThis is a Object", "Kind" : "Output", "HasDefaultValue" : false, "DefaultValue" : null, "IsRequired" : true, "IsSelected" : true, "DefaultValueWarning" : "", "BHoM_Guid" : "697e247c-0b55-40b9-a911-9281b756f782", "Name" : "Value" }] }, "BHoM_Guid" : "70931620-56be-44c8-ae07-304b6d4fc54f", "_bhomVersion" : "8.1" }</t>
  </si>
  <si>
    <t>{ "SelectedItem" : { "_t" : "System.Reflection.MethodBase", "TypeName" : "{ \"_t\" : \"System.Type\", \"Name\" : \"BH.Engine.Library.Query, Library_Engine, Version=8.0.0.0, Culture=neutral, PublicKeyToken=null\", \"_bhomVersion\" : \"8.1\" }", "MethodName" : "Library", "Parameters" : ["{ \"_t\" : \"System.Type\", \"Name\" : \"System.String, mscorlib, Version=4.0.0.0, Culture=neutral, PublicKeyToken=b77a5c561934e089\", \"_bhomVersion\" : \"8.1\" }"], "_bhomVersion" : "8.1" }, "InputParams" : { "_t" : "System.Collections.Generic.List`1[[BH.oM.UI.ParamInfo, UI_oM, Version=8.0.0.0, Culture=neutral, PublicKeyToken=null]]", "_v" : [{ "_t" : "BH.oM.UI.ParamInfo", "DataType" : { "_t" : "System.Type", "Name" : "System.String, mscorlib, Version=4.0.0.0, Culture=neutral, PublicKeyToken=b77a5c561934e089", "_bhomVersion" : "8.1" }, "Description" : "The name of the Dataset(s) to extract.\r\nThis is a String", "Kind" : "Input", "HasDefaultValue" : false, "DefaultValue" : null, "IsRequired" : true, "IsSelected" : true, "DefaultValueWarning" : "", "BHoM_Guid" : "95768bb9-804c-473f-beb6-f16fff87461b", "Name" : "libraryName" }] }, "OutputParams"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"BH.oM.Base.IBHoMObject", "_bhomVersion" : "8.1" }], "_bhomVersion" : "8.1" }, "Description" : "The data from the Dataset(s).\r\nThis is a List&lt;IBHoMObject&gt;\r\nThis can be of the following types: TagLayoutQualityPreset, TagSettings, ScoreWeightings, PointTagSettings, GlobalTagSettings, CurveTagSettings, BaseTagSettings, AreaTagSettings, TagViewInfo, TagType, TagLayout, TagInstanceSettings, TagHost, PointTagHost, PointHostsBySettings, and more...", "Kind" : "Output", "HasDefaultValue" : false, "DefaultValue" : null, "IsRequired" : true, "IsSelected" : true, "DefaultValueWarning" : "", "BHoM_Guid" : "d0ddca4e-9897-46f3-8549-1cd42e02b5b7", "Name" : "libraryData" }] }, "BHoM_Guid" : "bc1ef395-4c68-470a-8113-5c485b302eb1", "_bhomVersion" : "8.1"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</si>
</sst>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9"/>
      <color theme="1"/>
      <name val="Segoe UI"/>
      <family val="2"/>
    </font>
    <font>
      <sz val="10"/>
      <color rgb="FF000000"/>
      <name val="Segoe UI"/>
      <family val="2"/>
    </font>
    <font>
      <b/>
      <sz val="9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2" xfId="0" applyFont="1" applyFill="1" applyBorder="1"/>
    <xf numFmtId="0" fontId="1" fillId="4" borderId="3" xfId="0" applyFont="1" applyFill="1" applyBorder="1"/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/>
    <xf numFmtId="0" fontId="2" fillId="0" borderId="0" xfId="1"/>
    <xf numFmtId="0" fontId="2" fillId="0" borderId="0" xfId="1" applyFill="1" applyBorder="1" applyAlignment="1">
      <alignment vertical="top" wrapText="1"/>
    </xf>
    <xf numFmtId="0" fontId="4" fillId="0" borderId="0" xfId="1" applyFont="1" applyAlignment="1">
      <alignment wrapText="1"/>
    </xf>
    <xf numFmtId="0" fontId="4" fillId="0" borderId="0" xfId="1" applyFont="1"/>
    <xf numFmtId="0" fontId="1" fillId="2" borderId="1" xfId="0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2" fillId="2" borderId="1" xfId="1" applyFill="1" applyBorder="1" applyAlignment="1">
      <alignment horizontal="left" vertical="center" wrapText="1"/>
    </xf>
    <xf numFmtId="0" fontId="2" fillId="5" borderId="1" xfId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</cellXfs>
  <cellStyles count="2">
    <cellStyle name="Normal" xfId="0" builtinId="0"/>
    <cellStyle name="Normal 2" xfId="1" xr:uid="{B97F0277-DDFE-41BB-AF71-0D405DF04021}"/>
  </cellStyles>
  <dxfs count="3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FF66"/>
      <color rgb="FF740056"/>
      <color rgb="FFFF99FF"/>
      <color rgb="FFFEF5B4"/>
      <color rgb="FFEDF0DA"/>
      <color rgb="FFFF5D5D"/>
      <color rgb="FFFF7C80"/>
      <color rgb="FFFFB7B7"/>
      <color rgb="FFCC0000"/>
      <color rgb="FF5B7E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UB - UB152x89x16</c:v>
          </c:tx>
          <c:spPr>
            <a:solidFill>
              <a:schemeClr val="accent5">
                <a:tint val="38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85260</c:v>
              </c:pt>
              <c:pt idx="3">
                <c:v>99470</c:v>
              </c:pt>
              <c:pt idx="4">
                <c:v>0</c:v>
              </c:pt>
              <c:pt idx="5">
                <c:v>7673400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5C8-49D3-9737-B19560778310}"/>
            </c:ext>
          </c:extLst>
        </c:ser>
        <c:ser>
          <c:idx val="1"/>
          <c:order val="1"/>
          <c:tx>
            <c:v>UB - UB203x133x25</c:v>
          </c:tx>
          <c:spPr>
            <a:solidFill>
              <a:schemeClr val="accent5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633600</c:v>
              </c:pt>
              <c:pt idx="6">
                <c:v>608000</c:v>
              </c:pt>
              <c:pt idx="7">
                <c:v>0</c:v>
              </c:pt>
              <c:pt idx="8">
                <c:v>166400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5C8-49D3-9737-B19560778310}"/>
            </c:ext>
          </c:extLst>
        </c:ser>
        <c:ser>
          <c:idx val="2"/>
          <c:order val="2"/>
          <c:tx>
            <c:v>UB - UB356x171x51</c:v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51920</c:v>
              </c:pt>
              <c:pt idx="5">
                <c:v>584100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103840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149270</c:v>
              </c:pt>
              <c:pt idx="17">
                <c:v>155760</c:v>
              </c:pt>
              <c:pt idx="18">
                <c:v>0</c:v>
              </c:pt>
              <c:pt idx="19">
                <c:v>0</c:v>
              </c:pt>
              <c:pt idx="20">
                <c:v>2823150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E5C8-49D3-9737-B19560778310}"/>
            </c:ext>
          </c:extLst>
        </c:ser>
        <c:ser>
          <c:idx val="3"/>
          <c:order val="3"/>
          <c:tx>
            <c:v>UB - UB406x178x54</c:v>
          </c:tx>
          <c:spPr>
            <a:solidFill>
              <a:schemeClr val="accent5">
                <a:tint val="62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124200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3801900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E5C8-49D3-9737-B19560778310}"/>
            </c:ext>
          </c:extLst>
        </c:ser>
        <c:ser>
          <c:idx val="4"/>
          <c:order val="4"/>
          <c:tx>
            <c:v>UB - UB457x152x52</c:v>
          </c:tx>
          <c:spPr>
            <a:solidFill>
              <a:schemeClr val="accent5">
                <a:tint val="69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133200</c:v>
              </c:pt>
              <c:pt idx="7">
                <c:v>79920</c:v>
              </c:pt>
              <c:pt idx="8">
                <c:v>86580</c:v>
              </c:pt>
              <c:pt idx="9">
                <c:v>839160</c:v>
              </c:pt>
              <c:pt idx="10">
                <c:v>199800</c:v>
              </c:pt>
              <c:pt idx="11">
                <c:v>426240</c:v>
              </c:pt>
              <c:pt idx="12">
                <c:v>0</c:v>
              </c:pt>
              <c:pt idx="13">
                <c:v>799200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1158840</c:v>
              </c:pt>
              <c:pt idx="21">
                <c:v>0</c:v>
              </c:pt>
              <c:pt idx="22">
                <c:v>17948700</c:v>
              </c:pt>
              <c:pt idx="23">
                <c:v>239760</c:v>
              </c:pt>
            </c:numLit>
          </c:val>
          <c:extLst>
            <c:ext xmlns:c16="http://schemas.microsoft.com/office/drawing/2014/chart" uri="{C3380CC4-5D6E-409C-BE32-E72D297353CC}">
              <c16:uniqueId val="{00000004-E5C8-49D3-9737-B19560778310}"/>
            </c:ext>
          </c:extLst>
        </c:ser>
        <c:ser>
          <c:idx val="5"/>
          <c:order val="5"/>
          <c:tx>
            <c:v>UB - UB457x191x67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68400</c:v>
              </c:pt>
              <c:pt idx="5">
                <c:v>76950</c:v>
              </c:pt>
              <c:pt idx="6">
                <c:v>0</c:v>
              </c:pt>
              <c:pt idx="7">
                <c:v>102600</c:v>
              </c:pt>
              <c:pt idx="8">
                <c:v>111150</c:v>
              </c:pt>
              <c:pt idx="9">
                <c:v>957600</c:v>
              </c:pt>
              <c:pt idx="10">
                <c:v>128250</c:v>
              </c:pt>
              <c:pt idx="11">
                <c:v>273600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1735650</c:v>
              </c:pt>
              <c:pt idx="21">
                <c:v>0</c:v>
              </c:pt>
              <c:pt idx="22">
                <c:v>2992500</c:v>
              </c:pt>
              <c:pt idx="23">
                <c:v>307800</c:v>
              </c:pt>
            </c:numLit>
          </c:val>
          <c:extLst>
            <c:ext xmlns:c16="http://schemas.microsoft.com/office/drawing/2014/chart" uri="{C3380CC4-5D6E-409C-BE32-E72D297353CC}">
              <c16:uniqueId val="{00000005-E5C8-49D3-9737-B19560778310}"/>
            </c:ext>
          </c:extLst>
        </c:ser>
        <c:ser>
          <c:idx val="6"/>
          <c:order val="6"/>
          <c:tx>
            <c:v>UB - UB533x210x82</c:v>
          </c:tx>
          <c:spPr>
            <a:solidFill>
              <a:schemeClr val="accent5">
                <a:tint val="8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672000</c:v>
              </c:pt>
              <c:pt idx="12">
                <c:v>0</c:v>
              </c:pt>
              <c:pt idx="13">
                <c:v>2100000</c:v>
              </c:pt>
              <c:pt idx="14">
                <c:v>441000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850500</c:v>
              </c:pt>
              <c:pt idx="20">
                <c:v>1827000</c:v>
              </c:pt>
              <c:pt idx="21">
                <c:v>0</c:v>
              </c:pt>
              <c:pt idx="22">
                <c:v>0</c:v>
              </c:pt>
              <c:pt idx="23">
                <c:v>378000</c:v>
              </c:pt>
            </c:numLit>
          </c:val>
          <c:extLst>
            <c:ext xmlns:c16="http://schemas.microsoft.com/office/drawing/2014/chart" uri="{C3380CC4-5D6E-409C-BE32-E72D297353CC}">
              <c16:uniqueId val="{00000006-E5C8-49D3-9737-B19560778310}"/>
            </c:ext>
          </c:extLst>
        </c:ser>
        <c:ser>
          <c:idx val="7"/>
          <c:order val="7"/>
          <c:tx>
            <c:v>UB - UB610x229x101</c:v>
          </c:tx>
          <c:spPr>
            <a:solidFill>
              <a:schemeClr val="accent5">
                <a:tint val="93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7224000</c:v>
              </c:pt>
              <c:pt idx="23">
                <c:v>13003200</c:v>
              </c:pt>
            </c:numLit>
          </c:val>
          <c:extLst>
            <c:ext xmlns:c16="http://schemas.microsoft.com/office/drawing/2014/chart" uri="{C3380CC4-5D6E-409C-BE32-E72D297353CC}">
              <c16:uniqueId val="{00000007-E5C8-49D3-9737-B19560778310}"/>
            </c:ext>
          </c:extLst>
        </c:ser>
        <c:ser>
          <c:idx val="8"/>
          <c:order val="8"/>
          <c:tx>
            <c:v>UB - UB610x229x113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5846400</c:v>
              </c:pt>
              <c:pt idx="21">
                <c:v>0</c:v>
              </c:pt>
              <c:pt idx="22">
                <c:v>0</c:v>
              </c:pt>
              <c:pt idx="23">
                <c:v>3628800</c:v>
              </c:pt>
            </c:numLit>
          </c:val>
          <c:extLst>
            <c:ext xmlns:c16="http://schemas.microsoft.com/office/drawing/2014/chart" uri="{C3380CC4-5D6E-409C-BE32-E72D297353CC}">
              <c16:uniqueId val="{00000008-E5C8-49D3-9737-B19560778310}"/>
            </c:ext>
          </c:extLst>
        </c:ser>
        <c:ser>
          <c:idx val="9"/>
          <c:order val="9"/>
          <c:tx>
            <c:v>UB - UB610x229x125</c:v>
          </c:tx>
          <c:spPr>
            <a:solidFill>
              <a:schemeClr val="accent5">
                <a:shade val="92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286200</c:v>
              </c:pt>
              <c:pt idx="6">
                <c:v>0</c:v>
              </c:pt>
              <c:pt idx="7">
                <c:v>381600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1049400</c:v>
              </c:pt>
              <c:pt idx="16">
                <c:v>32181600</c:v>
              </c:pt>
              <c:pt idx="17">
                <c:v>381600</c:v>
              </c:pt>
              <c:pt idx="18">
                <c:v>0</c:v>
              </c:pt>
              <c:pt idx="19">
                <c:v>2575800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2289600</c:v>
              </c:pt>
            </c:numLit>
          </c:val>
          <c:extLst>
            <c:ext xmlns:c16="http://schemas.microsoft.com/office/drawing/2014/chart" uri="{C3380CC4-5D6E-409C-BE32-E72D297353CC}">
              <c16:uniqueId val="{00000009-E5C8-49D3-9737-B19560778310}"/>
            </c:ext>
          </c:extLst>
        </c:ser>
        <c:ser>
          <c:idx val="10"/>
          <c:order val="10"/>
          <c:tx>
            <c:v>UB - UB610x305x149</c:v>
          </c:tx>
          <c:spPr>
            <a:solidFill>
              <a:schemeClr val="accent5">
                <a:shade val="84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513000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285000</c:v>
              </c:pt>
              <c:pt idx="11">
                <c:v>304000</c:v>
              </c:pt>
              <c:pt idx="12">
                <c:v>1083000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11020000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E5C8-49D3-9737-B19560778310}"/>
            </c:ext>
          </c:extLst>
        </c:ser>
        <c:ser>
          <c:idx val="11"/>
          <c:order val="11"/>
          <c:tx>
            <c:v>UB - UB610x305x179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1983600</c:v>
              </c:pt>
              <c:pt idx="21">
                <c:v>0</c:v>
              </c:pt>
              <c:pt idx="22">
                <c:v>14364000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E5C8-49D3-9737-B19560778310}"/>
            </c:ext>
          </c:extLst>
        </c:ser>
        <c:ser>
          <c:idx val="12"/>
          <c:order val="12"/>
          <c:tx>
            <c:v>UB - UB686x254x125</c:v>
          </c:tx>
          <c:spPr>
            <a:solidFill>
              <a:schemeClr val="accent5">
                <a:shade val="68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222600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429300</c:v>
              </c:pt>
              <c:pt idx="20">
                <c:v>8760900</c:v>
              </c:pt>
              <c:pt idx="21">
                <c:v>1017600</c:v>
              </c:pt>
              <c:pt idx="22">
                <c:v>0</c:v>
              </c:pt>
              <c:pt idx="23">
                <c:v>42930000</c:v>
              </c:pt>
            </c:numLit>
          </c:val>
          <c:extLst>
            <c:ext xmlns:c16="http://schemas.microsoft.com/office/drawing/2014/chart" uri="{C3380CC4-5D6E-409C-BE32-E72D297353CC}">
              <c16:uniqueId val="{0000000C-E5C8-49D3-9737-B19560778310}"/>
            </c:ext>
          </c:extLst>
        </c:ser>
        <c:ser>
          <c:idx val="13"/>
          <c:order val="13"/>
          <c:tx>
            <c:v>UB - UB686x254x140</c:v>
          </c:tx>
          <c:spPr>
            <a:solidFill>
              <a:schemeClr val="accent5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1441800</c:v>
              </c:pt>
              <c:pt idx="20">
                <c:v>8259200</c:v>
              </c:pt>
              <c:pt idx="21">
                <c:v>0</c:v>
              </c:pt>
              <c:pt idx="22">
                <c:v>0</c:v>
              </c:pt>
              <c:pt idx="23">
                <c:v>5126400</c:v>
              </c:pt>
            </c:numLit>
          </c:val>
          <c:extLst>
            <c:ext xmlns:c16="http://schemas.microsoft.com/office/drawing/2014/chart" uri="{C3380CC4-5D6E-409C-BE32-E72D297353CC}">
              <c16:uniqueId val="{0000000D-E5C8-49D3-9737-B19560778310}"/>
            </c:ext>
          </c:extLst>
        </c:ser>
        <c:ser>
          <c:idx val="14"/>
          <c:order val="14"/>
          <c:tx>
            <c:v>UB - UB762x267x147</c:v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168300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355300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7779200</c:v>
              </c:pt>
              <c:pt idx="19">
                <c:v>6563700</c:v>
              </c:pt>
              <c:pt idx="20">
                <c:v>0</c:v>
              </c:pt>
              <c:pt idx="21">
                <c:v>0</c:v>
              </c:pt>
              <c:pt idx="22">
                <c:v>5236000</c:v>
              </c:pt>
              <c:pt idx="23">
                <c:v>2692800</c:v>
              </c:pt>
            </c:numLit>
          </c:val>
          <c:extLst>
            <c:ext xmlns:c16="http://schemas.microsoft.com/office/drawing/2014/chart" uri="{C3380CC4-5D6E-409C-BE32-E72D297353CC}">
              <c16:uniqueId val="{0000000E-E5C8-49D3-9737-B19560778310}"/>
            </c:ext>
          </c:extLst>
        </c:ser>
        <c:ser>
          <c:idx val="15"/>
          <c:order val="15"/>
          <c:tx>
            <c:v>UB - UB838x292x176</c:v>
          </c:tx>
          <c:spPr>
            <a:solidFill>
              <a:schemeClr val="accent5">
                <a:shade val="4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806400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2060800</c:v>
              </c:pt>
              <c:pt idx="17">
                <c:v>0</c:v>
              </c:pt>
              <c:pt idx="18">
                <c:v>0</c:v>
              </c:pt>
              <c:pt idx="19">
                <c:v>1209600</c:v>
              </c:pt>
              <c:pt idx="20">
                <c:v>10393600</c:v>
              </c:pt>
              <c:pt idx="21">
                <c:v>0</c:v>
              </c:pt>
              <c:pt idx="22">
                <c:v>0</c:v>
              </c:pt>
              <c:pt idx="23">
                <c:v>1612800</c:v>
              </c:pt>
            </c:numLit>
          </c:val>
          <c:extLst>
            <c:ext xmlns:c16="http://schemas.microsoft.com/office/drawing/2014/chart" uri="{C3380CC4-5D6E-409C-BE32-E72D297353CC}">
              <c16:uniqueId val="{0000000F-E5C8-49D3-9737-B19560778310}"/>
            </c:ext>
          </c:extLst>
        </c:ser>
        <c:ser>
          <c:idx val="16"/>
          <c:order val="16"/>
          <c:tx>
            <c:v>UB - UB914x419x343</c:v>
          </c:tx>
          <c:spPr>
            <a:solidFill>
              <a:schemeClr val="accent5">
                <a:shade val="37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24"/>
              <c:pt idx="0">
                <c:v>0</c:v>
              </c:pt>
              <c:pt idx="1">
                <c:v>4</c:v>
              </c:pt>
              <c:pt idx="2">
                <c:v>6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19</c:v>
              </c:pt>
              <c:pt idx="13">
                <c:v>20</c:v>
              </c:pt>
              <c:pt idx="14">
                <c:v>21</c:v>
              </c:pt>
              <c:pt idx="15">
                <c:v>22</c:v>
              </c:pt>
              <c:pt idx="16">
                <c:v>23</c:v>
              </c:pt>
              <c:pt idx="17">
                <c:v>24</c:v>
              </c:pt>
              <c:pt idx="18">
                <c:v>26</c:v>
              </c:pt>
              <c:pt idx="19">
                <c:v>27</c:v>
              </c:pt>
              <c:pt idx="20">
                <c:v>29</c:v>
              </c:pt>
              <c:pt idx="21">
                <c:v>32</c:v>
              </c:pt>
              <c:pt idx="22">
                <c:v>35</c:v>
              </c:pt>
              <c:pt idx="23">
                <c:v>36</c:v>
              </c:pt>
            </c:strLit>
          </c:cat>
          <c:val>
            <c:numLit>
              <c:formatCode>General</c:formatCode>
              <c:ptCount val="24"/>
              <c:pt idx="0">
                <c:v>0</c:v>
              </c:pt>
              <c:pt idx="1">
                <c:v>3670800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11930100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29366400</c:v>
              </c:pt>
              <c:pt idx="22">
                <c:v>0</c:v>
              </c:pt>
              <c:pt idx="2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E5C8-49D3-9737-B19560778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52441680"/>
        <c:axId val="252430640"/>
      </c:barChart>
      <c:catAx>
        <c:axId val="25244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rgbClr val="595959"/>
                    </a:solidFill>
                    <a:latin typeface="Segoe UI" panose="020B0502040204020203" pitchFamily="34" charset="0"/>
                    <a:ea typeface="+mn-ea"/>
                    <a:cs typeface="+mn-cs"/>
                  </a:defRPr>
                </a:pPr>
                <a:r>
                  <a:rPr lang="en-US" sz="1100" b="0" i="0" u="none" strike="noStrike" kern="1200" baseline="0">
                    <a:solidFill>
                      <a:srgbClr val="595959"/>
                    </a:solidFill>
                    <a:latin typeface="Segoe UI" panose="020B0502040204020203" pitchFamily="34" charset="0"/>
                    <a:ea typeface="+mn-ea"/>
                    <a:cs typeface="+mn-cs"/>
                  </a:rPr>
                  <a:t>Member Lengths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rgbClr val="595959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252430640"/>
        <c:crosses val="autoZero"/>
        <c:auto val="1"/>
        <c:lblAlgn val="ctr"/>
        <c:lblOffset val="100"/>
        <c:noMultiLvlLbl val="0"/>
      </c:catAx>
      <c:valAx>
        <c:axId val="2524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25244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>
      <c:oddHeader>&amp;L&amp;G&amp;R&amp;D
Created by: 
Checked by: </c:oddHeader>
    </c:headerFooter>
    <c:pageMargins b="0.75" l="0.7" r="0.7" t="0.75" header="0.3" footer="0.3"/>
    <c:pageSetup paperSize="8" orientation="portrait"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Series1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7"/>
              <c:pt idx="0">
                <c:v>1</c:v>
              </c:pt>
              <c:pt idx="1">
                <c:v>9</c:v>
              </c:pt>
              <c:pt idx="2">
                <c:v>15</c:v>
              </c:pt>
              <c:pt idx="3">
                <c:v>16</c:v>
              </c:pt>
              <c:pt idx="4">
                <c:v>18</c:v>
              </c:pt>
              <c:pt idx="5">
                <c:v>19</c:v>
              </c:pt>
              <c:pt idx="6">
                <c:v>31</c:v>
              </c:pt>
            </c:strLit>
          </c:cat>
          <c:val>
            <c:numLit>
              <c:formatCode>General</c:formatCode>
              <c:ptCount val="7"/>
              <c:pt idx="0">
                <c:v>12300</c:v>
              </c:pt>
              <c:pt idx="1">
                <c:v>664200</c:v>
              </c:pt>
              <c:pt idx="2">
                <c:v>6826500</c:v>
              </c:pt>
              <c:pt idx="3">
                <c:v>7478400</c:v>
              </c:pt>
              <c:pt idx="4">
                <c:v>5535000</c:v>
              </c:pt>
              <c:pt idx="5">
                <c:v>7478400</c:v>
              </c:pt>
              <c:pt idx="6">
                <c:v>7244700</c:v>
              </c:pt>
            </c:numLit>
          </c:val>
          <c:extLst>
            <c:ext xmlns:c16="http://schemas.microsoft.com/office/drawing/2014/chart" uri="{C3380CC4-5D6E-409C-BE32-E72D297353CC}">
              <c16:uniqueId val="{00000000-87AB-4982-9210-59D354ED23DE}"/>
            </c:ext>
          </c:extLst>
        </c:ser>
        <c:ser>
          <c:idx val="1"/>
          <c:order val="1"/>
          <c:tx>
            <c:v>Series2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7"/>
              <c:pt idx="0">
                <c:v>1</c:v>
              </c:pt>
              <c:pt idx="1">
                <c:v>9</c:v>
              </c:pt>
              <c:pt idx="2">
                <c:v>15</c:v>
              </c:pt>
              <c:pt idx="3">
                <c:v>16</c:v>
              </c:pt>
              <c:pt idx="4">
                <c:v>18</c:v>
              </c:pt>
              <c:pt idx="5">
                <c:v>19</c:v>
              </c:pt>
              <c:pt idx="6">
                <c:v>31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3685500</c:v>
              </c:pt>
              <c:pt idx="2">
                <c:v>6142500</c:v>
              </c:pt>
              <c:pt idx="3">
                <c:v>6552000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AB-4982-9210-59D354ED2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52460880"/>
        <c:axId val="252401840"/>
      </c:barChart>
      <c:catAx>
        <c:axId val="25246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rgbClr val="595959"/>
                    </a:solidFill>
                    <a:latin typeface="Segoe UI" panose="020B0502040204020203" pitchFamily="34" charset="0"/>
                    <a:ea typeface="+mn-ea"/>
                    <a:cs typeface="+mn-cs"/>
                  </a:defRPr>
                </a:pPr>
                <a:r>
                  <a:rPr lang="en-US" sz="1100" b="0" i="0" u="none" strike="noStrike" kern="1200" baseline="0">
                    <a:solidFill>
                      <a:srgbClr val="595959"/>
                    </a:solidFill>
                    <a:latin typeface="Segoe UI" panose="020B0502040204020203" pitchFamily="34" charset="0"/>
                    <a:ea typeface="+mn-ea"/>
                    <a:cs typeface="+mn-cs"/>
                  </a:rPr>
                  <a:t>Member Lengths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rgbClr val="595959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252401840"/>
        <c:crosses val="autoZero"/>
        <c:auto val="1"/>
        <c:lblAlgn val="ctr"/>
        <c:lblOffset val="100"/>
        <c:noMultiLvlLbl val="0"/>
      </c:catAx>
      <c:valAx>
        <c:axId val="25240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25246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Series1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4</c:v>
              </c:pt>
              <c:pt idx="1">
                <c:v>5</c:v>
              </c:pt>
              <c:pt idx="2">
                <c:v>12</c:v>
              </c:pt>
              <c:pt idx="3">
                <c:v>13</c:v>
              </c:pt>
              <c:pt idx="4">
                <c:v>30</c:v>
              </c:pt>
              <c:pt idx="5">
                <c:v>33</c:v>
              </c:pt>
            </c:strLit>
          </c:cat>
          <c:val>
            <c:numLit>
              <c:formatCode>General</c:formatCode>
              <c:ptCount val="6"/>
              <c:pt idx="0">
                <c:v>98400</c:v>
              </c:pt>
              <c:pt idx="1">
                <c:v>1168500</c:v>
              </c:pt>
              <c:pt idx="2">
                <c:v>147600</c:v>
              </c:pt>
              <c:pt idx="3">
                <c:v>223860</c:v>
              </c:pt>
              <c:pt idx="4">
                <c:v>221400</c:v>
              </c:pt>
              <c:pt idx="5">
                <c:v>487080</c:v>
              </c:pt>
            </c:numLit>
          </c:val>
          <c:extLst>
            <c:ext xmlns:c16="http://schemas.microsoft.com/office/drawing/2014/chart" uri="{C3380CC4-5D6E-409C-BE32-E72D297353CC}">
              <c16:uniqueId val="{00000000-8650-4395-B85B-BB3C1DC50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81293135"/>
        <c:axId val="1181308975"/>
      </c:barChart>
      <c:catAx>
        <c:axId val="11812931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rgbClr val="595959"/>
                    </a:solidFill>
                    <a:latin typeface="Segoe UI" panose="020B0502040204020203" pitchFamily="34" charset="0"/>
                    <a:ea typeface="+mn-ea"/>
                    <a:cs typeface="+mn-cs"/>
                  </a:defRPr>
                </a:pPr>
                <a:r>
                  <a:rPr lang="en-US" sz="1100" b="0" i="0" u="none" strike="noStrike" kern="1200" baseline="0">
                    <a:solidFill>
                      <a:srgbClr val="595959"/>
                    </a:solidFill>
                    <a:latin typeface="Segoe UI" panose="020B0502040204020203" pitchFamily="34" charset="0"/>
                    <a:ea typeface="+mn-ea"/>
                    <a:cs typeface="+mn-cs"/>
                  </a:rPr>
                  <a:t>Member Lengths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rgbClr val="595959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81308975"/>
        <c:crosses val="autoZero"/>
        <c:auto val="1"/>
        <c:lblAlgn val="ctr"/>
        <c:lblOffset val="100"/>
        <c:noMultiLvlLbl val="0"/>
      </c:catAx>
      <c:valAx>
        <c:axId val="118130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81293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Series1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10</c:v>
              </c:pt>
              <c:pt idx="1">
                <c:v>13</c:v>
              </c:pt>
              <c:pt idx="2">
                <c:v>20</c:v>
              </c:pt>
              <c:pt idx="3">
                <c:v>22</c:v>
              </c:pt>
              <c:pt idx="4">
                <c:v>24</c:v>
              </c:pt>
              <c:pt idx="5">
                <c:v>27</c:v>
              </c:pt>
              <c:pt idx="6">
                <c:v>29</c:v>
              </c:pt>
              <c:pt idx="7">
                <c:v>36</c:v>
              </c:pt>
            </c:strLit>
          </c:cat>
          <c:val>
            <c:numLit>
              <c:formatCode>General</c:formatCode>
              <c:ptCount val="8"/>
              <c:pt idx="0">
                <c:v>197641.60000000001</c:v>
              </c:pt>
              <c:pt idx="1">
                <c:v>513868.16</c:v>
              </c:pt>
              <c:pt idx="2">
                <c:v>790566.40000000002</c:v>
              </c:pt>
              <c:pt idx="3">
                <c:v>1087028.8</c:v>
              </c:pt>
              <c:pt idx="4">
                <c:v>10909816.319999998</c:v>
              </c:pt>
              <c:pt idx="5">
                <c:v>3201793.9200000004</c:v>
              </c:pt>
              <c:pt idx="6">
                <c:v>2006062.2400000002</c:v>
              </c:pt>
              <c:pt idx="7">
                <c:v>1778774.4</c:v>
              </c:pt>
            </c:numLit>
          </c:val>
          <c:extLst>
            <c:ext xmlns:c16="http://schemas.microsoft.com/office/drawing/2014/chart" uri="{C3380CC4-5D6E-409C-BE32-E72D297353CC}">
              <c16:uniqueId val="{00000000-713F-4345-95E9-CDE809D3A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52445040"/>
        <c:axId val="252449360"/>
      </c:barChart>
      <c:catAx>
        <c:axId val="252445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rgbClr val="595959"/>
                    </a:solidFill>
                    <a:latin typeface="Segoe UI" panose="020B0502040204020203" pitchFamily="34" charset="0"/>
                    <a:ea typeface="+mn-ea"/>
                    <a:cs typeface="+mn-cs"/>
                  </a:defRPr>
                </a:pPr>
                <a:r>
                  <a:rPr lang="en-US" sz="1100" b="0" i="0" u="none" strike="noStrike" kern="1200" baseline="0">
                    <a:solidFill>
                      <a:srgbClr val="595959"/>
                    </a:solidFill>
                    <a:latin typeface="Segoe UI" panose="020B0502040204020203" pitchFamily="34" charset="0"/>
                    <a:ea typeface="+mn-ea"/>
                    <a:cs typeface="+mn-cs"/>
                  </a:rPr>
                  <a:t>Member Lengths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rgbClr val="595959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252449360"/>
        <c:crosses val="autoZero"/>
        <c:auto val="1"/>
        <c:lblAlgn val="ctr"/>
        <c:lblOffset val="100"/>
        <c:noMultiLvlLbl val="0"/>
      </c:catAx>
      <c:valAx>
        <c:axId val="25244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25244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Sections Excluded from Graph by Volume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C5-4607-A739-29E9CD5144CE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85C5-4607-A739-29E9CD514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Sections Excluded from Graph by Volume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61-4C97-9DD8-A07C8E19FF03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EA61-4C97-9DD8-A07C8E19F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Sections Excluded from Graph by Volume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BB-424C-8130-80BF8271CA61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32BB-424C-8130-80BF8271C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Sections Excluded from Graph by Volume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3A4-47FE-8AF8-62E4078EE711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A3A4-47FE-8AF8-62E4078EE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Sections Types by Volume</c:v>
          </c:tx>
          <c:dPt>
            <c:idx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FE-43AE-8EE5-7755E125E201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A9FE-43AE-8EE5-7755E125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Sections Types by Volume</c:v>
          </c:tx>
          <c:dPt>
            <c:idx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2C-4E9A-8C25-CA8D7DE5B96B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EA2C-4E9A-8C25-CA8D7DE5B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Sections Types by Volume</c:v>
          </c:tx>
          <c:dPt>
            <c:idx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2C-4D65-9DF2-C9AFAB07F0E7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832C-4D65-9DF2-C9AFAB07F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Sections Types by Volume</c:v>
          </c:tx>
          <c:dPt>
            <c:idx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27-4BC2-88EC-BBA813690462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3B27-4BC2-88EC-BBA813690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4097" name="btn_GenerateGraph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60960</xdr:rowOff>
        </xdr:from>
        <xdr:to>
          <xdr:col>6</xdr:col>
          <xdr:colOff>0</xdr:colOff>
          <xdr:row>13</xdr:row>
          <xdr:rowOff>38100</xdr:rowOff>
        </xdr:to>
        <xdr:sp macro="" textlink="">
          <xdr:nvSpPr>
            <xdr:cNvPr id="4099" name="btn_ResetGraph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Reset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106680</xdr:rowOff>
        </xdr:from>
        <xdr:to>
          <xdr:col>6</xdr:col>
          <xdr:colOff>0</xdr:colOff>
          <xdr:row>14</xdr:row>
          <xdr:rowOff>106680</xdr:rowOff>
        </xdr:to>
        <xdr:sp macro="" textlink="">
          <xdr:nvSpPr>
            <xdr:cNvPr id="4100" name="btn_DeleteGraph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44</xdr:col>
      <xdr:colOff>172720</xdr:colOff>
      <xdr:row>51</xdr:row>
      <xdr:rowOff>137160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5246F433-1A66-4181-879C-0700AAC0D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55</xdr:row>
      <xdr:rowOff>0</xdr:rowOff>
    </xdr:from>
    <xdr:to>
      <xdr:col>44</xdr:col>
      <xdr:colOff>172720</xdr:colOff>
      <xdr:row>105</xdr:row>
      <xdr:rowOff>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36D9559A-7219-42FF-8D09-A6AFA18D6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108</xdr:row>
      <xdr:rowOff>0</xdr:rowOff>
    </xdr:from>
    <xdr:to>
      <xdr:col>44</xdr:col>
      <xdr:colOff>172720</xdr:colOff>
      <xdr:row>158</xdr:row>
      <xdr:rowOff>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FC96AE33-697A-448D-98FC-2CBCBF6DA5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161</xdr:row>
      <xdr:rowOff>0</xdr:rowOff>
    </xdr:from>
    <xdr:to>
      <xdr:col>44</xdr:col>
      <xdr:colOff>172720</xdr:colOff>
      <xdr:row>211</xdr:row>
      <xdr:rowOff>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F915820F-22EE-4182-B1A9-95BA44A92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9</xdr:col>
      <xdr:colOff>25400</xdr:colOff>
      <xdr:row>32</xdr:row>
      <xdr:rowOff>139700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8921B18F-CAE1-46AF-AF59-4B04CAF61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9</xdr:col>
      <xdr:colOff>25400</xdr:colOff>
      <xdr:row>85</xdr:row>
      <xdr:rowOff>139700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93D3560E-DD74-4D03-B858-C866C35659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124</xdr:row>
      <xdr:rowOff>0</xdr:rowOff>
    </xdr:from>
    <xdr:to>
      <xdr:col>9</xdr:col>
      <xdr:colOff>25400</xdr:colOff>
      <xdr:row>138</xdr:row>
      <xdr:rowOff>139700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90609E90-3344-449B-B3F6-A4ACC0CB2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177</xdr:row>
      <xdr:rowOff>0</xdr:rowOff>
    </xdr:from>
    <xdr:to>
      <xdr:col>9</xdr:col>
      <xdr:colOff>25400</xdr:colOff>
      <xdr:row>191</xdr:row>
      <xdr:rowOff>139700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A9D9F443-1EB6-4E48-8C8A-E23ADBBD7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9</xdr:col>
      <xdr:colOff>40640</xdr:colOff>
      <xdr:row>50</xdr:row>
      <xdr:rowOff>25400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64AA3213-6CDF-4D28-8D92-CF023D96A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9</xdr:col>
      <xdr:colOff>40640</xdr:colOff>
      <xdr:row>103</xdr:row>
      <xdr:rowOff>25400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3F82A5AF-23D5-47D7-8A3E-CDCB71774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141</xdr:row>
      <xdr:rowOff>0</xdr:rowOff>
    </xdr:from>
    <xdr:to>
      <xdr:col>9</xdr:col>
      <xdr:colOff>40640</xdr:colOff>
      <xdr:row>156</xdr:row>
      <xdr:rowOff>25400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81D95012-12C5-4FED-89EF-4008E74528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194</xdr:row>
      <xdr:rowOff>0</xdr:rowOff>
    </xdr:from>
    <xdr:to>
      <xdr:col>9</xdr:col>
      <xdr:colOff>40640</xdr:colOff>
      <xdr:row>209</xdr:row>
      <xdr:rowOff>25400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256D26D8-EE7E-4F85-87DC-ABBEA17D17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145F9-BE1C-4052-B12B-69CE06DED828}">
  <sheetPr codeName="Sheet2"/>
  <dimension ref="A1:C4"/>
  <sheetViews>
    <sheetView workbookViewId="0">
      <selection activeCell="G13" sqref="G13"/>
    </sheetView>
  </sheetViews>
  <sheetFormatPr defaultRowHeight="15" x14ac:dyDescent="0.35"/>
  <sheetData>
    <row r="1" spans="1:3" x14ac:dyDescent="0.35">
      <c r="A1" t="s">
        <v>0</v>
      </c>
    </row>
    <row r="2" spans="1:3" x14ac:dyDescent="0.35">
      <c r="A2" t="s">
        <v>1</v>
      </c>
      <c r="B2" t="s">
        <v>31</v>
      </c>
      <c r="C2" t="s">
        <v>2</v>
      </c>
    </row>
    <row r="3" spans="1:3" x14ac:dyDescent="0.35">
      <c r="A3" t="s">
        <v>3</v>
      </c>
      <c r="B3" t="s">
        <v>32</v>
      </c>
      <c r="C3" t="s">
        <v>4</v>
      </c>
    </row>
    <row r="4" spans="1:3" x14ac:dyDescent="0.35">
      <c r="A4" t="s">
        <v>5</v>
      </c>
      <c r="B4" t="s">
        <v>33</v>
      </c>
      <c r="C4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6E58-CA35-479B-B637-A6E0682FF96D}">
  <sheetPr codeName="Sheet3">
    <tabColor indexed="13"/>
  </sheetPr>
  <dimension ref="A1:E1"/>
  <sheetViews>
    <sheetView workbookViewId="0">
      <selection activeCell="J13" sqref="J13"/>
    </sheetView>
  </sheetViews>
  <sheetFormatPr defaultRowHeight="15" x14ac:dyDescent="0.35"/>
  <cols>
    <col min="1" max="1" width="14.109375" bestFit="1" customWidth="1"/>
    <col min="2" max="2" width="14.44140625" bestFit="1" customWidth="1"/>
    <col min="3" max="3" width="12.21875" style="1" bestFit="1" customWidth="1"/>
    <col min="4" max="4" width="12.33203125" style="1" bestFit="1" customWidth="1"/>
    <col min="5" max="5" width="14.44140625" bestFit="1" customWidth="1"/>
    <col min="15" max="15" width="12.77734375" bestFit="1" customWidth="1"/>
  </cols>
  <sheetData>
    <row r="1" spans="1:5" ht="15.6" thickBot="1" x14ac:dyDescent="0.4">
      <c r="A1" s="7" t="s">
        <v>7</v>
      </c>
      <c r="B1" s="8" t="s">
        <v>8</v>
      </c>
      <c r="C1" s="9" t="s">
        <v>9</v>
      </c>
      <c r="D1" s="9" t="s">
        <v>10</v>
      </c>
      <c r="E1" s="10" t="s">
        <v>24</v>
      </c>
    </row>
  </sheetData>
  <autoFilter ref="A1:E1" xr:uid="{99CC6E58-CA35-479B-B637-A6E0682FF96D}">
    <sortState xmlns:xlrd2="http://schemas.microsoft.com/office/spreadsheetml/2017/richdata2" ref="A2:E1854">
      <sortCondition descending="1" ref="D1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3D419-995B-4E4D-93E1-32D86823BC42}">
  <sheetPr codeName="Sheet5">
    <tabColor theme="6" tint="0.39997558519241921"/>
  </sheetPr>
  <dimension ref="A1:R13"/>
  <sheetViews>
    <sheetView topLeftCell="C1" zoomScaleNormal="100" workbookViewId="0">
      <pane ySplit="42" topLeftCell="A43" activePane="bottomLeft" state="frozen"/>
      <selection pane="bottomLeft" activeCell="P22" sqref="P22"/>
    </sheetView>
  </sheetViews>
  <sheetFormatPr defaultRowHeight="15" x14ac:dyDescent="0.35"/>
  <cols>
    <col min="1" max="7" width="16.44140625" style="1" customWidth="1"/>
    <col min="8" max="8" width="12" style="1" bestFit="1" customWidth="1"/>
    <col min="9" max="9" width="18.88671875" style="1" bestFit="1" customWidth="1"/>
    <col min="10" max="10" width="5.6640625" customWidth="1"/>
    <col min="11" max="12" width="16.6640625" style="1" bestFit="1" customWidth="1"/>
    <col min="13" max="13" width="15.6640625" style="1" bestFit="1" customWidth="1"/>
    <col min="14" max="14" width="5.6640625" customWidth="1"/>
    <col min="15" max="15" width="18.109375" bestFit="1" customWidth="1"/>
    <col min="16" max="16" width="16.6640625" bestFit="1" customWidth="1"/>
    <col min="17" max="17" width="5.6640625" customWidth="1"/>
    <col min="18" max="18" width="15.6640625" bestFit="1" customWidth="1"/>
    <col min="19" max="19" width="16.6640625" bestFit="1" customWidth="1"/>
    <col min="20" max="20" width="11.44140625" bestFit="1" customWidth="1"/>
    <col min="21" max="21" width="16.6640625" bestFit="1" customWidth="1"/>
    <col min="22" max="23" width="15.6640625" bestFit="1" customWidth="1"/>
    <col min="24" max="26" width="16.6640625" bestFit="1" customWidth="1"/>
    <col min="27" max="27" width="15.6640625" bestFit="1" customWidth="1"/>
    <col min="28" max="32" width="14.109375" bestFit="1" customWidth="1"/>
    <col min="33" max="33" width="10.88671875" bestFit="1" customWidth="1"/>
    <col min="34" max="34" width="16.6640625" bestFit="1" customWidth="1"/>
    <col min="35" max="39" width="14.109375" bestFit="1" customWidth="1"/>
    <col min="40" max="42" width="15.109375" bestFit="1" customWidth="1"/>
    <col min="43" max="44" width="14.109375" bestFit="1" customWidth="1"/>
    <col min="45" max="45" width="10.88671875" bestFit="1" customWidth="1"/>
    <col min="46" max="47" width="16.88671875" bestFit="1" customWidth="1"/>
    <col min="48" max="48" width="11.88671875" bestFit="1" customWidth="1"/>
    <col min="49" max="56" width="14.109375" bestFit="1" customWidth="1"/>
    <col min="57" max="62" width="15.109375" bestFit="1" customWidth="1"/>
    <col min="63" max="63" width="14.109375" bestFit="1" customWidth="1"/>
    <col min="64" max="64" width="10.88671875" bestFit="1" customWidth="1"/>
    <col min="65" max="71" width="14.109375" bestFit="1" customWidth="1"/>
    <col min="72" max="76" width="15.109375" bestFit="1" customWidth="1"/>
    <col min="77" max="83" width="14.109375" bestFit="1" customWidth="1"/>
    <col min="84" max="84" width="11.88671875" bestFit="1" customWidth="1"/>
    <col min="85" max="85" width="16.88671875" bestFit="1" customWidth="1"/>
    <col min="86" max="96" width="14.109375" bestFit="1" customWidth="1"/>
    <col min="97" max="99" width="15.109375" bestFit="1" customWidth="1"/>
    <col min="100" max="101" width="14.109375" bestFit="1" customWidth="1"/>
    <col min="102" max="115" width="15.109375" bestFit="1" customWidth="1"/>
    <col min="116" max="116" width="8.6640625" bestFit="1" customWidth="1"/>
    <col min="117" max="117" width="7.33203125" bestFit="1" customWidth="1"/>
    <col min="118" max="118" width="11.44140625" bestFit="1" customWidth="1"/>
    <col min="119" max="223" width="22.88671875" bestFit="1" customWidth="1"/>
    <col min="224" max="224" width="25.5546875" bestFit="1" customWidth="1"/>
    <col min="225" max="225" width="28.109375" bestFit="1" customWidth="1"/>
  </cols>
  <sheetData>
    <row r="1" spans="1:18" s="3" customFormat="1" x14ac:dyDescent="0.35">
      <c r="A1" s="5" t="str" cm="1">
        <f t="array" ref="A1">_xlfn._xlws.FILTER(Inputs!A:A,ISBLANK(Inputs!A:A)=FALSE)</f>
        <v>Section Family</v>
      </c>
      <c r="B1" s="5" t="str" cm="1">
        <f t="array" ref="B1">_xlfn._xlws.FILTER(Inputs!B:B,ISBLANK(Inputs!B:B)=FALSE)</f>
        <v>Section Name</v>
      </c>
      <c r="C1" s="5" t="str" cm="1">
        <f t="array" ref="C1">_xlfn._xlws.FILTER(Inputs!C:C,ISBLANK(Inputs!C:C)=FALSE)</f>
        <v>Section Area</v>
      </c>
      <c r="D1" s="5" t="str" cm="1">
        <f t="array" ref="D1">_xlfn._xlws.FILTER(Inputs!D:D,ISBLANK(Inputs!D:D)=FALSE)</f>
        <v>Total Length</v>
      </c>
      <c r="E1" s="5" t="str" cm="1">
        <f t="array" ref="E1">IFERROR(IF(_xlfn.ANCHORARRAY(D1)-2*'Steel Reuse Dashboard'!$E$3&lt;0,0,_xlfn.ANCHORARRAY(D1)-2*'Steel Reuse Dashboard'!$E$3),"Including Cutoff")</f>
        <v>Including Cutoff</v>
      </c>
      <c r="F1" s="5" t="str" cm="1">
        <f t="array" ref="F1">IFERROR(_xlfn.FLOOR.MATH(_xlfn.ANCHORARRAY(E1),'Steel Reuse Dashboard'!$E$6),"Rounded Length")</f>
        <v>Rounded Length</v>
      </c>
      <c r="G1" s="5" t="str" cm="1">
        <f t="array" ref="G1">IFERROR(_xlfn.ANCHORARRAY(F1)*_xlfn.ANCHORARRAY(C1),"Total Volume")</f>
        <v>Total Volume</v>
      </c>
      <c r="H1" s="5" t="str" cm="1">
        <f t="array" ref="H1">INDEX(_xlfn.ANCHORARRAY(M1),MATCH(_xlfn.ANCHORARRAY(B1),_xlfn.ANCHORARRAY(K1),0))</f>
        <v>Plot</v>
      </c>
      <c r="I1" s="5" t="str" cm="1">
        <f t="array" ref="I1">_xlfn._xlws.FILTER(Inputs!E:E,ISBLANK(Inputs!E:E)=FALSE)</f>
        <v>Reuse Strategy</v>
      </c>
      <c r="K1" s="5" t="str" cm="1">
        <f t="array" ref="K1:K2">_xlfn.UNIQUE(Inputs!B:B)</f>
        <v>Section Name</v>
      </c>
      <c r="L1" s="5" t="str" cm="1">
        <f t="array" ref="L1:L2">IF(ROW(_xlfn.ANCHORARRAY(K1))=1,"Count",COUNTIF(B:B,_xlfn.ANCHORARRAY(K1)))</f>
        <v>Count</v>
      </c>
      <c r="M1" s="5" t="str" cm="1">
        <f t="array" ref="M1:M2">IF(ROW(_xlfn.ANCHORARRAY(K1))=1,"Plot",IF(_xlfn.ANCHORARRAY(L1)&lt;='Steel Reuse Dashboard'!$E$9,"NO","YES"))</f>
        <v>Plot</v>
      </c>
      <c r="O1" s="15" t="s">
        <v>11</v>
      </c>
      <c r="P1" s="15"/>
    </row>
    <row r="2" spans="1:18" x14ac:dyDescent="0.35">
      <c r="K2" s="1">
        <v>0</v>
      </c>
      <c r="L2" s="1">
        <v>0</v>
      </c>
      <c r="M2" s="1" t="str">
        <v>NO</v>
      </c>
      <c r="O2" s="1" t="s">
        <v>12</v>
      </c>
      <c r="P2" s="4">
        <f>SUMIF(_xlfn.ANCHORARRAY($H$1),"YES",_xlfn.ANCHORARRAY($G$1))</f>
        <v>0</v>
      </c>
    </row>
    <row r="3" spans="1:18" x14ac:dyDescent="0.35">
      <c r="O3" s="1" t="s">
        <v>13</v>
      </c>
      <c r="P3" s="4">
        <f>SUMIF(_xlfn.ANCHORARRAY($H$1),"NO",_xlfn.ANCHORARRAY($G$1))</f>
        <v>0</v>
      </c>
    </row>
    <row r="5" spans="1:18" x14ac:dyDescent="0.35">
      <c r="O5" s="15" t="s">
        <v>14</v>
      </c>
      <c r="P5" s="15"/>
      <c r="Q5" s="3"/>
      <c r="R5" s="6" t="s">
        <v>15</v>
      </c>
    </row>
    <row r="6" spans="1:18" x14ac:dyDescent="0.35">
      <c r="O6" s="1" t="s">
        <v>16</v>
      </c>
      <c r="P6" s="4">
        <f>P8-P7</f>
        <v>0</v>
      </c>
      <c r="R6" s="1" t="s">
        <v>17</v>
      </c>
    </row>
    <row r="7" spans="1:18" x14ac:dyDescent="0.35">
      <c r="O7" s="1" t="s">
        <v>18</v>
      </c>
      <c r="P7" s="4">
        <f>SUMIF(_xlfn.ANCHORARRAY($A$1),"NA",_xlfn.ANCHORARRAY($D$1))</f>
        <v>0</v>
      </c>
      <c r="R7" s="2"/>
    </row>
    <row r="8" spans="1:18" x14ac:dyDescent="0.35">
      <c r="O8" s="1" t="s">
        <v>19</v>
      </c>
      <c r="P8" s="4">
        <f>SUM(_xlfn.ANCHORARRAY(D1))</f>
        <v>0</v>
      </c>
    </row>
    <row r="10" spans="1:18" x14ac:dyDescent="0.35">
      <c r="O10" s="15" t="s">
        <v>20</v>
      </c>
      <c r="P10" s="15"/>
    </row>
    <row r="11" spans="1:18" x14ac:dyDescent="0.35">
      <c r="O11" s="1" t="s">
        <v>21</v>
      </c>
      <c r="P11" s="4">
        <f>SUMIF(I:I,"YES",G:G)</f>
        <v>0</v>
      </c>
    </row>
    <row r="12" spans="1:18" x14ac:dyDescent="0.35">
      <c r="O12" s="1" t="s">
        <v>22</v>
      </c>
      <c r="P12" s="4">
        <f>P13-P11</f>
        <v>0</v>
      </c>
    </row>
    <row r="13" spans="1:18" x14ac:dyDescent="0.35">
      <c r="O13" s="1" t="s">
        <v>23</v>
      </c>
      <c r="P13" s="4">
        <f>SUM(G:G)-SUMIF(A:A,"NA",G:G)</f>
        <v>0</v>
      </c>
    </row>
  </sheetData>
  <autoFilter ref="A1:I1854" xr:uid="{DB93D419-995B-4E4D-93E1-32D86823BC42}"/>
  <mergeCells count="3">
    <mergeCell ref="O1:P1"/>
    <mergeCell ref="O5:P5"/>
    <mergeCell ref="O10:P10"/>
  </mergeCells>
  <conditionalFormatting sqref="A1:XFD1048576">
    <cfRule type="notContainsBlanks" dxfId="2" priority="3">
      <formula>LEN(TRIM(A1))&gt;0</formula>
    </cfRule>
  </conditionalFormatting>
  <conditionalFormatting sqref="I1:I1048576">
    <cfRule type="containsText" dxfId="1" priority="1" operator="containsText" text="YES">
      <formula>NOT(ISERROR(SEARCH("YES",I1)))</formula>
    </cfRule>
    <cfRule type="expression" dxfId="0" priority="2">
      <formula>ISBLANK($H1)=FALSE</formula>
    </cfRule>
  </conditionalFormatting>
  <dataValidations count="1">
    <dataValidation type="list" allowBlank="1" showInputMessage="1" showErrorMessage="1" sqref="I2:I1048576" xr:uid="{7A7A70BE-59B7-4932-9747-7381C6F819BB}">
      <formula1>$R$6:$R$7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60E5E-508B-419D-99F0-CEB38DB7DAD3}">
  <sheetPr codeName="Sheet1">
    <tabColor theme="9" tint="0.59999389629810485"/>
  </sheetPr>
  <dimension ref="A1:AT169"/>
  <sheetViews>
    <sheetView showGridLines="0" tabSelected="1" showRuler="0" view="pageLayout" zoomScale="80" zoomScaleNormal="100" zoomScaleSheetLayoutView="100" zoomScalePageLayoutView="80" workbookViewId="0">
      <selection activeCell="I5" sqref="I5"/>
    </sheetView>
  </sheetViews>
  <sheetFormatPr defaultColWidth="4.5546875" defaultRowHeight="13.2" x14ac:dyDescent="0.3"/>
  <cols>
    <col min="1" max="18" width="4.5546875" style="11"/>
    <col min="19" max="19" width="4.5546875" style="11" customWidth="1"/>
    <col min="20" max="16384" width="4.5546875" style="11"/>
  </cols>
  <sheetData>
    <row r="1" spans="1:46" ht="15" customHeight="1" x14ac:dyDescent="0.3">
      <c r="B1" s="16" t="s">
        <v>25</v>
      </c>
      <c r="C1" s="16"/>
      <c r="D1" s="16"/>
      <c r="E1" s="16"/>
      <c r="F1" s="16"/>
    </row>
    <row r="2" spans="1:46" x14ac:dyDescent="0.3">
      <c r="C2" s="12"/>
      <c r="D2" s="12"/>
      <c r="E2" s="12"/>
    </row>
    <row r="3" spans="1:46" ht="14.25" customHeight="1" x14ac:dyDescent="0.3">
      <c r="B3" s="17" t="s">
        <v>26</v>
      </c>
      <c r="C3" s="17"/>
      <c r="D3" s="17"/>
      <c r="E3" s="18">
        <v>0.2</v>
      </c>
      <c r="F3" s="19" t="s">
        <v>27</v>
      </c>
    </row>
    <row r="4" spans="1:46" x14ac:dyDescent="0.3">
      <c r="B4" s="17"/>
      <c r="C4" s="17"/>
      <c r="D4" s="17"/>
      <c r="E4" s="18"/>
      <c r="F4" s="19"/>
    </row>
    <row r="6" spans="1:46" x14ac:dyDescent="0.3">
      <c r="B6" s="17" t="s">
        <v>28</v>
      </c>
      <c r="C6" s="17"/>
      <c r="D6" s="17"/>
      <c r="E6" s="18">
        <v>1</v>
      </c>
      <c r="F6" s="19" t="s">
        <v>27</v>
      </c>
    </row>
    <row r="7" spans="1:46" x14ac:dyDescent="0.3">
      <c r="B7" s="17"/>
      <c r="C7" s="17"/>
      <c r="D7" s="17"/>
      <c r="E7" s="18"/>
      <c r="F7" s="19"/>
    </row>
    <row r="9" spans="1:46" x14ac:dyDescent="0.3">
      <c r="B9" s="17" t="s">
        <v>29</v>
      </c>
      <c r="C9" s="17"/>
      <c r="D9" s="17"/>
      <c r="E9" s="18">
        <v>20</v>
      </c>
      <c r="F9" s="19" t="s">
        <v>30</v>
      </c>
    </row>
    <row r="10" spans="1:46" x14ac:dyDescent="0.3">
      <c r="B10" s="17"/>
      <c r="C10" s="17"/>
      <c r="D10" s="17"/>
      <c r="E10" s="18"/>
      <c r="F10" s="19"/>
    </row>
    <row r="13" spans="1:46" ht="15" customHeight="1" x14ac:dyDescent="0.3"/>
    <row r="14" spans="1:46" ht="13.2" customHeight="1" x14ac:dyDescent="0.3">
      <c r="A14" s="13"/>
      <c r="B14" s="13"/>
      <c r="C14" s="13"/>
      <c r="D14" s="13"/>
      <c r="E14" s="13"/>
      <c r="F14" s="13"/>
      <c r="G14" s="13"/>
      <c r="AT14" s="14"/>
    </row>
    <row r="15" spans="1:46" x14ac:dyDescent="0.3">
      <c r="A15" s="13"/>
      <c r="B15" s="13"/>
      <c r="C15" s="13"/>
      <c r="D15" s="13"/>
      <c r="E15" s="13"/>
      <c r="F15" s="13"/>
      <c r="G15" s="13"/>
      <c r="AT15" s="14"/>
    </row>
    <row r="16" spans="1:46" x14ac:dyDescent="0.3">
      <c r="AT16" s="14"/>
    </row>
    <row r="54" spans="2:6" x14ac:dyDescent="0.3">
      <c r="B54" s="16" t="s">
        <v>25</v>
      </c>
      <c r="C54" s="16"/>
      <c r="D54" s="16"/>
      <c r="E54" s="16"/>
      <c r="F54" s="16"/>
    </row>
    <row r="55" spans="2:6" x14ac:dyDescent="0.3">
      <c r="C55" s="12"/>
      <c r="D55" s="12"/>
      <c r="E55" s="12"/>
    </row>
    <row r="56" spans="2:6" x14ac:dyDescent="0.3">
      <c r="B56" s="17" t="s">
        <v>26</v>
      </c>
      <c r="C56" s="17"/>
      <c r="D56" s="17"/>
      <c r="E56" s="18">
        <v>0.2</v>
      </c>
      <c r="F56" s="19" t="s">
        <v>27</v>
      </c>
    </row>
    <row r="57" spans="2:6" x14ac:dyDescent="0.3">
      <c r="B57" s="17"/>
      <c r="C57" s="17"/>
      <c r="D57" s="17"/>
      <c r="E57" s="18"/>
      <c r="F57" s="19"/>
    </row>
    <row r="59" spans="2:6" x14ac:dyDescent="0.3">
      <c r="B59" s="17" t="s">
        <v>28</v>
      </c>
      <c r="C59" s="17"/>
      <c r="D59" s="17"/>
      <c r="E59" s="18">
        <v>1</v>
      </c>
      <c r="F59" s="19" t="s">
        <v>27</v>
      </c>
    </row>
    <row r="60" spans="2:6" x14ac:dyDescent="0.3">
      <c r="B60" s="17"/>
      <c r="C60" s="17"/>
      <c r="D60" s="17"/>
      <c r="E60" s="18"/>
      <c r="F60" s="19"/>
    </row>
    <row r="62" spans="2:6" x14ac:dyDescent="0.3">
      <c r="B62" s="17" t="s">
        <v>29</v>
      </c>
      <c r="C62" s="17"/>
      <c r="D62" s="17"/>
      <c r="E62" s="18">
        <v>20</v>
      </c>
      <c r="F62" s="19" t="s">
        <v>30</v>
      </c>
    </row>
    <row r="63" spans="2:6" x14ac:dyDescent="0.3">
      <c r="B63" s="17"/>
      <c r="C63" s="17"/>
      <c r="D63" s="17"/>
      <c r="E63" s="18"/>
      <c r="F63" s="19"/>
    </row>
    <row r="107" spans="2:6" x14ac:dyDescent="0.3">
      <c r="B107" s="16" t="s">
        <v>25</v>
      </c>
      <c r="C107" s="16"/>
      <c r="D107" s="16"/>
      <c r="E107" s="16"/>
      <c r="F107" s="16"/>
    </row>
    <row r="108" spans="2:6" x14ac:dyDescent="0.3">
      <c r="C108" s="12"/>
      <c r="D108" s="12"/>
      <c r="E108" s="12"/>
    </row>
    <row r="109" spans="2:6" x14ac:dyDescent="0.3">
      <c r="B109" s="17" t="s">
        <v>26</v>
      </c>
      <c r="C109" s="17"/>
      <c r="D109" s="17"/>
      <c r="E109" s="18">
        <v>0.2</v>
      </c>
      <c r="F109" s="19" t="s">
        <v>27</v>
      </c>
    </row>
    <row r="110" spans="2:6" x14ac:dyDescent="0.3">
      <c r="B110" s="17"/>
      <c r="C110" s="17"/>
      <c r="D110" s="17"/>
      <c r="E110" s="18"/>
      <c r="F110" s="19"/>
    </row>
    <row r="112" spans="2:6" x14ac:dyDescent="0.3">
      <c r="B112" s="17" t="s">
        <v>28</v>
      </c>
      <c r="C112" s="17"/>
      <c r="D112" s="17"/>
      <c r="E112" s="18">
        <v>1</v>
      </c>
      <c r="F112" s="19" t="s">
        <v>27</v>
      </c>
    </row>
    <row r="113" spans="2:6" x14ac:dyDescent="0.3">
      <c r="B113" s="17"/>
      <c r="C113" s="17"/>
      <c r="D113" s="17"/>
      <c r="E113" s="18"/>
      <c r="F113" s="19"/>
    </row>
    <row r="115" spans="2:6" x14ac:dyDescent="0.3">
      <c r="B115" s="17" t="s">
        <v>29</v>
      </c>
      <c r="C115" s="17"/>
      <c r="D115" s="17"/>
      <c r="E115" s="18">
        <v>20</v>
      </c>
      <c r="F115" s="19" t="s">
        <v>30</v>
      </c>
    </row>
    <row r="116" spans="2:6" x14ac:dyDescent="0.3">
      <c r="B116" s="17"/>
      <c r="C116" s="17"/>
      <c r="D116" s="17"/>
      <c r="E116" s="18"/>
      <c r="F116" s="19"/>
    </row>
    <row r="160" spans="2:6" x14ac:dyDescent="0.3">
      <c r="B160" s="16" t="s">
        <v>25</v>
      </c>
      <c r="C160" s="16"/>
      <c r="D160" s="16"/>
      <c r="E160" s="16"/>
      <c r="F160" s="16"/>
    </row>
    <row r="161" spans="2:6" x14ac:dyDescent="0.3">
      <c r="C161" s="12"/>
      <c r="D161" s="12"/>
      <c r="E161" s="12"/>
    </row>
    <row r="162" spans="2:6" x14ac:dyDescent="0.3">
      <c r="B162" s="17" t="s">
        <v>26</v>
      </c>
      <c r="C162" s="17"/>
      <c r="D162" s="17"/>
      <c r="E162" s="18">
        <v>0.2</v>
      </c>
      <c r="F162" s="19" t="s">
        <v>27</v>
      </c>
    </row>
    <row r="163" spans="2:6" x14ac:dyDescent="0.3">
      <c r="B163" s="17"/>
      <c r="C163" s="17"/>
      <c r="D163" s="17"/>
      <c r="E163" s="18"/>
      <c r="F163" s="19"/>
    </row>
    <row r="165" spans="2:6" x14ac:dyDescent="0.3">
      <c r="B165" s="17" t="s">
        <v>28</v>
      </c>
      <c r="C165" s="17"/>
      <c r="D165" s="17"/>
      <c r="E165" s="18">
        <v>1</v>
      </c>
      <c r="F165" s="19" t="s">
        <v>27</v>
      </c>
    </row>
    <row r="166" spans="2:6" x14ac:dyDescent="0.3">
      <c r="B166" s="17"/>
      <c r="C166" s="17"/>
      <c r="D166" s="17"/>
      <c r="E166" s="18"/>
      <c r="F166" s="19"/>
    </row>
    <row r="168" spans="2:6" x14ac:dyDescent="0.3">
      <c r="B168" s="17" t="s">
        <v>29</v>
      </c>
      <c r="C168" s="17"/>
      <c r="D168" s="17"/>
      <c r="E168" s="18">
        <v>20</v>
      </c>
      <c r="F168" s="19" t="s">
        <v>30</v>
      </c>
    </row>
    <row r="169" spans="2:6" x14ac:dyDescent="0.3">
      <c r="B169" s="17"/>
      <c r="C169" s="17"/>
      <c r="D169" s="17"/>
      <c r="E169" s="18"/>
      <c r="F169" s="19"/>
    </row>
  </sheetData>
  <mergeCells count="40">
    <mergeCell ref="B107:F107"/>
    <mergeCell ref="B109:D110"/>
    <mergeCell ref="E109:E110"/>
    <mergeCell ref="F109:F110"/>
    <mergeCell ref="B112:D113"/>
    <mergeCell ref="E112:E113"/>
    <mergeCell ref="F112:F113"/>
    <mergeCell ref="B168:D169"/>
    <mergeCell ref="E168:E169"/>
    <mergeCell ref="F168:F169"/>
    <mergeCell ref="B115:D116"/>
    <mergeCell ref="E115:E116"/>
    <mergeCell ref="F115:F116"/>
    <mergeCell ref="B160:F160"/>
    <mergeCell ref="B162:D163"/>
    <mergeCell ref="E162:E163"/>
    <mergeCell ref="F162:F163"/>
    <mergeCell ref="B165:D166"/>
    <mergeCell ref="E165:E166"/>
    <mergeCell ref="F165:F166"/>
    <mergeCell ref="F59:F60"/>
    <mergeCell ref="B62:D63"/>
    <mergeCell ref="E62:E63"/>
    <mergeCell ref="F62:F63"/>
    <mergeCell ref="B9:D10"/>
    <mergeCell ref="E9:E10"/>
    <mergeCell ref="F9:F10"/>
    <mergeCell ref="B54:F54"/>
    <mergeCell ref="B56:D57"/>
    <mergeCell ref="E56:E57"/>
    <mergeCell ref="F56:F57"/>
    <mergeCell ref="B59:D60"/>
    <mergeCell ref="E59:E60"/>
    <mergeCell ref="B1:F1"/>
    <mergeCell ref="B3:D4"/>
    <mergeCell ref="E3:E4"/>
    <mergeCell ref="F3:F4"/>
    <mergeCell ref="B6:D7"/>
    <mergeCell ref="E6:E7"/>
    <mergeCell ref="F6:F7"/>
  </mergeCells>
  <pageMargins left="0.39370078740157483" right="0.39370078740157483" top="1.1811023622047245" bottom="0.78740157480314965" header="0.39370078740157483" footer="0.39370078740157483"/>
  <pageSetup paperSize="8" orientation="landscape" r:id="rId1"/>
  <headerFooter scaleWithDoc="0">
    <oddHeader xml:space="preserve">&amp;L&amp;G&amp;R&amp;D
Created by: 
Checked by: </oddHeader>
    <oddFooter>&amp;L&amp;6
COPYRIGHT © 1976-2020 BURO HAPPOLD. ALL RIGHTS RESERVED&amp;RPage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tn_GenerateGraphs">
              <controlPr defaultSize="0" print="0" autoFill="0" autoPict="0" macro="[0]!GraphCreation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tn_ResetGraphs">
              <controlPr defaultSize="0" print="0" autoFill="0" autoPict="0" macro="[0]!ResetGraphs">
                <anchor moveWithCells="1" sizeWithCells="1">
                  <from>
                    <xdr:col>1</xdr:col>
                    <xdr:colOff>0</xdr:colOff>
                    <xdr:row>12</xdr:row>
                    <xdr:rowOff>60960</xdr:rowOff>
                  </from>
                  <to>
                    <xdr:col>6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tn_DeleteGraphs">
              <controlPr defaultSize="0" print="0" autoFill="0" autoPict="0" macro="[0]!DeleteGraphs">
                <anchor moveWithCells="1" sizeWithCells="1">
                  <from>
                    <xdr:col>1</xdr:col>
                    <xdr:colOff>0</xdr:colOff>
                    <xdr:row>13</xdr:row>
                    <xdr:rowOff>106680</xdr:rowOff>
                  </from>
                  <to>
                    <xdr:col>6</xdr:col>
                    <xdr:colOff>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67435D7FBBBA47ADFC347CB144427F" ma:contentTypeVersion="43" ma:contentTypeDescription="Create a new document." ma:contentTypeScope="" ma:versionID="84c613b500e64041affc2b9e2cae1181">
  <xsd:schema xmlns:xsd="http://www.w3.org/2001/XMLSchema" xmlns:xs="http://www.w3.org/2001/XMLSchema" xmlns:p="http://schemas.microsoft.com/office/2006/metadata/properties" xmlns:ns1="http://schemas.microsoft.com/sharepoint/v3" xmlns:ns2="1302df7f-88d7-4de7-95a7-124321c940f0" xmlns:ns3="8f7a92c5-f891-48be-92b1-40f67a03cf11" xmlns:ns4="7d1875c7-ea51-4db7-9f6e-d358eeae476c" targetNamespace="http://schemas.microsoft.com/office/2006/metadata/properties" ma:root="true" ma:fieldsID="94dd2cd12305ef1464580675ff802ffd" ns1:_="" ns2:_="" ns3:_="" ns4:_="">
    <xsd:import namespace="http://schemas.microsoft.com/sharepoint/v3"/>
    <xsd:import namespace="1302df7f-88d7-4de7-95a7-124321c940f0"/>
    <xsd:import namespace="8f7a92c5-f891-48be-92b1-40f67a03cf11"/>
    <xsd:import namespace="7d1875c7-ea51-4db7-9f6e-d358eeae476c"/>
    <xsd:element name="properties">
      <xsd:complexType>
        <xsd:sequence>
          <xsd:element name="documentManagement">
            <xsd:complexType>
              <xsd:all>
                <xsd:element ref="ns2:Description0" minOccurs="0"/>
                <xsd:element ref="ns2:People" minOccurs="0"/>
                <xsd:element ref="ns1:LikesCount" minOccurs="0"/>
                <xsd:element ref="ns1:AverageRating" minOccurs="0"/>
                <xsd:element ref="ns1:RatingCount" minOccurs="0"/>
                <xsd:element ref="ns2:Status" minOccurs="0"/>
                <xsd:element ref="ns2:Review_x0020_Comments" minOccurs="0"/>
                <xsd:element ref="ns2:Funding_x0020_Source" minOccurs="0"/>
                <xsd:element ref="ns2:Idea_x0020_Category" minOccurs="0"/>
                <xsd:element ref="ns2:Date" minOccurs="0"/>
                <xsd:element ref="ns2:d05f63ba40984deab913011dba1cabd4" minOccurs="0"/>
                <xsd:element ref="ns2:bcad1085fac14b0d9956f4d9e66a8447" minOccurs="0"/>
                <xsd:element ref="ns1:RatedBy" minOccurs="0"/>
                <xsd:element ref="ns1:Ratings" minOccurs="0"/>
                <xsd:element ref="ns1:LikedBy" minOccurs="0"/>
                <xsd:element ref="ns3:TaxCatchAll" minOccurs="0"/>
                <xsd:element ref="ns2:MediaServiceMetadata" minOccurs="0"/>
                <xsd:element ref="ns2:MediaServiceFastMetadata" minOccurs="0"/>
                <xsd:element ref="ns4:SharedWithUsers" minOccurs="0"/>
                <xsd:element ref="ns4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CompletedLocation" minOccurs="0"/>
                <xsd:element ref="ns2:Reviewer" minOccurs="0"/>
                <xsd:element ref="ns2:MediaLengthInSeconds" minOccurs="0"/>
                <xsd:element ref="ns2:Output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ikesCount" ma:index="5" nillable="true" ma:displayName="Number of Likes" ma:internalName="LikesCount">
      <xsd:simpleType>
        <xsd:restriction base="dms:Unknown"/>
      </xsd:simpleType>
    </xsd:element>
    <xsd:element name="AverageRating" ma:index="7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8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18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19" nillable="true" ma:displayName="User ratings" ma:description="User ratings for the item" ma:hidden="true" ma:internalName="Ratings">
      <xsd:simpleType>
        <xsd:restriction base="dms:Note"/>
      </xsd:simpleType>
    </xsd:element>
    <xsd:element name="LikedBy" ma:index="20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02df7f-88d7-4de7-95a7-124321c940f0" elementFormDefault="qualified">
    <xsd:import namespace="http://schemas.microsoft.com/office/2006/documentManagement/types"/>
    <xsd:import namespace="http://schemas.microsoft.com/office/infopath/2007/PartnerControls"/>
    <xsd:element name="Description0" ma:index="1" nillable="true" ma:displayName="Summary" ma:internalName="Description0" ma:readOnly="false">
      <xsd:simpleType>
        <xsd:restriction base="dms:Note">
          <xsd:maxLength value="255"/>
        </xsd:restriction>
      </xsd:simpleType>
    </xsd:element>
    <xsd:element name="People" ma:index="3" nillable="true" ma:displayName="People" ma:format="Dropdown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9" nillable="true" ma:displayName="Status" ma:default="In Planning" ma:description="In Planning (Active and Long Term)" ma:format="Dropdown" ma:internalName="Status">
      <xsd:simpleType>
        <xsd:restriction base="dms:Choice">
          <xsd:enumeration value="Pending Resource"/>
          <xsd:enumeration value="Parked"/>
          <xsd:enumeration value="In Planning"/>
          <xsd:enumeration value="In Development"/>
          <xsd:enumeration value="Complete"/>
          <xsd:enumeration value="Ready for Review"/>
        </xsd:restriction>
      </xsd:simpleType>
    </xsd:element>
    <xsd:element name="Review_x0020_Comments" ma:index="10" nillable="true" ma:displayName="Status Comment" ma:format="Dropdown" ma:internalName="Review_x0020_Comments">
      <xsd:simpleType>
        <xsd:restriction base="dms:Note">
          <xsd:maxLength value="255"/>
        </xsd:restriction>
      </xsd:simpleType>
    </xsd:element>
    <xsd:element name="Funding_x0020_Source" ma:index="11" nillable="true" ma:displayName="Funding Source" ma:default="Project" ma:format="Dropdown" ma:internalName="Funding_x0020_Source">
      <xsd:simpleType>
        <xsd:restriction base="dms:Choice">
          <xsd:enumeration value="Project"/>
          <xsd:enumeration value="Discipline Funding"/>
          <xsd:enumeration value="Regional Tech Funding"/>
          <xsd:enumeration value="Central Investment Funding"/>
          <xsd:enumeration value="Core Development Team"/>
        </xsd:restriction>
      </xsd:simpleType>
    </xsd:element>
    <xsd:element name="Idea_x0020_Category" ma:index="12" nillable="true" ma:displayName="Idea Category" ma:format="Dropdown" ma:internalName="Idea_x0020_Category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fficiency and Automation"/>
                    <xsd:enumeration value="Incubation"/>
                    <xsd:enumeration value="ESG"/>
                    <xsd:enumeration value="Rapid Prototyping"/>
                    <xsd:enumeration value="Analytics"/>
                    <xsd:enumeration value="Project"/>
                  </xsd:restriction>
                </xsd:simpleType>
              </xsd:element>
            </xsd:sequence>
          </xsd:extension>
        </xsd:complexContent>
      </xsd:complexType>
    </xsd:element>
    <xsd:element name="Date" ma:index="13" nillable="true" ma:displayName="Date" ma:format="DateOnly" ma:internalName="Date">
      <xsd:simpleType>
        <xsd:restriction base="dms:DateTime"/>
      </xsd:simpleType>
    </xsd:element>
    <xsd:element name="d05f63ba40984deab913011dba1cabd4" ma:index="16" nillable="true" ma:taxonomy="true" ma:internalName="d05f63ba40984deab913011dba1cabd4" ma:taxonomyFieldName="Discipline" ma:displayName="Discipline" ma:readOnly="false" ma:default="" ma:fieldId="{d05f63ba-4098-4dea-b913-011dba1cabd4}" ma:sspId="43fa978b-cdad-45a5-877c-f631a0e6dfe9" ma:termSetId="4e73e40c-4865-4834-b7af-c2c3c02849a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cad1085fac14b0d9956f4d9e66a8447" ma:index="17" nillable="true" ma:taxonomy="true" ma:internalName="bcad1085fac14b0d9956f4d9e66a8447" ma:taxonomyFieldName="Office_x0020_of_x0020_Idea_x0027_s_x0020_Origin" ma:displayName="Office" ma:readOnly="false" ma:fieldId="{bcad1085-fac1-4b0d-9956-f4d9e66a8447}" ma:sspId="43fa978b-cdad-45a5-877c-f631a0e6dfe9" ma:termSetId="b49f64b3-4722-4336-9a5c-56c326b344d4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Metadata" ma:index="2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2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27" nillable="true" ma:displayName="Tags" ma:internalName="MediaServiceAutoTags" ma:readOnly="true">
      <xsd:simpleType>
        <xsd:restriction base="dms:Text"/>
      </xsd:simpleType>
    </xsd:element>
    <xsd:element name="MediaServiceGenerationTime" ma:index="2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34" nillable="true" ma:displayName="Location" ma:internalName="MediaServiceLocation" ma:readOnly="true">
      <xsd:simpleType>
        <xsd:restriction base="dms:Text"/>
      </xsd:simpleType>
    </xsd:element>
    <xsd:element name="MediaServiceAutoKeyPoints" ma:index="3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mpletedLocation" ma:index="38" nillable="true" ma:displayName="ROI Location (Link)" ma:description="This should contain the location for the completed idea (link to the ROI library)" ma:format="Dropdown" ma:internalName="CompletedLocation">
      <xsd:simpleType>
        <xsd:restriction base="dms:Note">
          <xsd:maxLength value="255"/>
        </xsd:restriction>
      </xsd:simpleType>
    </xsd:element>
    <xsd:element name="Reviewer" ma:index="39" nillable="true" ma:displayName="Reviewer" ma:description="Person responsible for reviewing categorisation, discipline etc" ma:format="Dropdown" ma:list="UserInfo" ma:SharePointGroup="0" ma:internalName="Reviewe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40" nillable="true" ma:displayName="MediaLengthInSeconds" ma:hidden="true" ma:internalName="MediaLengthInSeconds" ma:readOnly="true">
      <xsd:simpleType>
        <xsd:restriction base="dms:Unknown"/>
      </xsd:simpleType>
    </xsd:element>
    <xsd:element name="Output" ma:index="41" nillable="true" ma:displayName="Anticipated Output" ma:format="Dropdown" ma:internalName="Output">
      <xsd:simpleType>
        <xsd:restriction base="dms:Choice">
          <xsd:enumeration value="Web UI"/>
          <xsd:enumeration value="Grasshopper Script"/>
          <xsd:enumeration value="Excel Script"/>
          <xsd:enumeration value="Other"/>
        </xsd:restriction>
      </xsd:simpleType>
    </xsd:element>
    <xsd:element name="lcf76f155ced4ddcb4097134ff3c332f" ma:index="43" nillable="true" ma:taxonomy="true" ma:internalName="lcf76f155ced4ddcb4097134ff3c332f" ma:taxonomyFieldName="MediaServiceImageTags" ma:displayName="Image Tags" ma:readOnly="false" ma:fieldId="{5cf76f15-5ced-4ddc-b409-7134ff3c332f}" ma:taxonomyMulti="true" ma:sspId="43fa978b-cdad-45a5-877c-f631a0e6dfe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4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4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4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7a92c5-f891-48be-92b1-40f67a03cf1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2df026f-cbf9-4856-b234-fe00ac59712e}" ma:internalName="TaxCatchAll" ma:showField="CatchAllData" ma:web="329e5992-0c58-40a3-b366-574206e8756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1875c7-ea51-4db7-9f6e-d358eeae476c" elementFormDefault="qualified">
    <xsd:import namespace="http://schemas.microsoft.com/office/2006/documentManagement/types"/>
    <xsd:import namespace="http://schemas.microsoft.com/office/infopath/2007/PartnerControls"/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30" ma:displayName="Content Type"/>
        <xsd:element ref="dc:title" minOccurs="0" maxOccurs="1" ma:index="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302df7f-88d7-4de7-95a7-124321c940f0">
      <Terms xmlns="http://schemas.microsoft.com/office/infopath/2007/PartnerControls"/>
    </lcf76f155ced4ddcb4097134ff3c332f>
    <TaxCatchAll xmlns="8f7a92c5-f891-48be-92b1-40f67a03cf11" xsi:nil="true"/>
    <LikesCount xmlns="http://schemas.microsoft.com/sharepoint/v3" xsi:nil="true"/>
    <Idea_x0020_Category xmlns="1302df7f-88d7-4de7-95a7-124321c940f0" xsi:nil="true"/>
    <Status xmlns="1302df7f-88d7-4de7-95a7-124321c940f0">In Planning</Status>
    <CompletedLocation xmlns="1302df7f-88d7-4de7-95a7-124321c940f0" xsi:nil="true"/>
    <Review_x0020_Comments xmlns="1302df7f-88d7-4de7-95a7-124321c940f0" xsi:nil="true"/>
    <Ratings xmlns="http://schemas.microsoft.com/sharepoint/v3" xsi:nil="true"/>
    <Reviewer xmlns="1302df7f-88d7-4de7-95a7-124321c940f0">
      <UserInfo>
        <DisplayName/>
        <AccountId xsi:nil="true"/>
        <AccountType/>
      </UserInfo>
    </Reviewer>
    <People xmlns="1302df7f-88d7-4de7-95a7-124321c940f0">
      <UserInfo>
        <DisplayName/>
        <AccountId xsi:nil="true"/>
        <AccountType/>
      </UserInfo>
    </People>
    <Funding_x0020_Source xmlns="1302df7f-88d7-4de7-95a7-124321c940f0">Project</Funding_x0020_Source>
    <Output xmlns="1302df7f-88d7-4de7-95a7-124321c940f0" xsi:nil="true"/>
    <d05f63ba40984deab913011dba1cabd4 xmlns="1302df7f-88d7-4de7-95a7-124321c940f0">
      <Terms xmlns="http://schemas.microsoft.com/office/infopath/2007/PartnerControls"/>
    </d05f63ba40984deab913011dba1cabd4>
    <LikedBy xmlns="http://schemas.microsoft.com/sharepoint/v3">
      <UserInfo>
        <DisplayName/>
        <AccountId xsi:nil="true"/>
        <AccountType/>
      </UserInfo>
    </LikedBy>
    <bcad1085fac14b0d9956f4d9e66a8447 xmlns="1302df7f-88d7-4de7-95a7-124321c940f0">
      <Terms xmlns="http://schemas.microsoft.com/office/infopath/2007/PartnerControls"/>
    </bcad1085fac14b0d9956f4d9e66a8447>
    <Date xmlns="1302df7f-88d7-4de7-95a7-124321c940f0" xsi:nil="true"/>
    <Description0 xmlns="1302df7f-88d7-4de7-95a7-124321c940f0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0F8F3837-DDE1-48D9-A36B-3F14764CC9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302df7f-88d7-4de7-95a7-124321c940f0"/>
    <ds:schemaRef ds:uri="8f7a92c5-f891-48be-92b1-40f67a03cf11"/>
    <ds:schemaRef ds:uri="7d1875c7-ea51-4db7-9f6e-d358eeae47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E0892F-05EF-4171-852E-4FE511084F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326545-55BA-473D-AE68-C2EA17DA393C}">
  <ds:schemaRefs>
    <ds:schemaRef ds:uri="http://schemas.microsoft.com/office/2006/metadata/properties"/>
    <ds:schemaRef ds:uri="http://schemas.microsoft.com/office/infopath/2007/PartnerControls"/>
    <ds:schemaRef ds:uri="e34d8971-24df-41b1-89c8-6e1548b07ae1"/>
    <ds:schemaRef ds:uri="65a79493-e7a8-4a30-838d-a7d05defeee0"/>
    <ds:schemaRef ds:uri="1302df7f-88d7-4de7-95a7-124321c940f0"/>
    <ds:schemaRef ds:uri="8f7a92c5-f891-48be-92b1-40f67a03cf11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BHoM_CallersHidden</vt:lpstr>
      <vt:lpstr>Inputs</vt:lpstr>
      <vt:lpstr>Total Table</vt:lpstr>
      <vt:lpstr>Steel Reuse Dashboard</vt:lpstr>
      <vt:lpstr>'Steel Reuse Dashboard'!endCutOffLength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Melissa Ruckert</dc:creator>
  <cp:keywords/>
  <dc:description/>
  <cp:lastModifiedBy>Giorgio Albieri</cp:lastModifiedBy>
  <cp:revision/>
  <cp:lastPrinted>2025-03-24T12:01:38Z</cp:lastPrinted>
  <dcterms:created xsi:type="dcterms:W3CDTF">2024-03-04T19:20:07Z</dcterms:created>
  <dcterms:modified xsi:type="dcterms:W3CDTF">2025-04-02T18:12:58Z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HoM_Guid">
    <vt:lpwstr>3bf50add-0134-4006-a7ae-19b6e1d0cc44</vt:lpwstr>
  </property>
  <property fmtid="{D5CDD505-2E9C-101B-9397-08002B2CF9AE}" pid="3" name="ContentTypeId">
    <vt:lpwstr>0x010100BB67435D7FBBBA47ADFC347CB144427F</vt:lpwstr>
  </property>
  <property fmtid="{D5CDD505-2E9C-101B-9397-08002B2CF9AE}" pid="4" name="MediaServiceImageTags">
    <vt:lpwstr/>
  </property>
  <property fmtid="{D5CDD505-2E9C-101B-9397-08002B2CF9AE}" pid="5" name="Discipline">
    <vt:lpwstr/>
  </property>
  <property fmtid="{D5CDD505-2E9C-101B-9397-08002B2CF9AE}" pid="6" name="Office of Idea's Origin">
    <vt:lpwstr/>
  </property>
  <property fmtid="{D5CDD505-2E9C-101B-9397-08002B2CF9AE}" pid="7" name="Office_x0020_of_x0020_Idea_x0027_s_x0020_Origin">
    <vt:lpwstr/>
  </property>
</Properties>
</file>