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urohappold.sharepoint.com/sites/Direction/designtechnology/Lists/DevDocs/00728_STR Steel Re-use/04_Dev/ReuseSchemeTool/ReuseSchemeTool/model/excel_files/"/>
    </mc:Choice>
  </mc:AlternateContent>
  <xr:revisionPtr revIDLastSave="67" documentId="8_{E59938C2-B6BD-44ED-A40E-78D24E22553D}" xr6:coauthVersionLast="47" xr6:coauthVersionMax="47" xr10:uidLastSave="{3B69CE80-8DDB-4E18-BB9E-E7D47766B24C}"/>
  <bookViews>
    <workbookView xWindow="2340" yWindow="2340" windowWidth="21600" windowHeight="12540" firstSheet="1" activeTab="1" xr2:uid="{376705C5-C65B-43F6-A5BB-8D91ED0DB7AB}"/>
  </bookViews>
  <sheets>
    <sheet name="BHoM_CallersHidden" sheetId="10" state="hidden" r:id="rId1"/>
    <sheet name="Steel Reuse Dashboard" sheetId="13" r:id="rId2"/>
    <sheet name="Inputs" sheetId="14" r:id="rId3"/>
    <sheet name="Total Table" sheetId="19" state="hidden" r:id="rId4"/>
    <sheet name="UC" sheetId="20" state="hidden" r:id="rId5"/>
    <sheet name="CHS" sheetId="23" state="hidden" r:id="rId6"/>
    <sheet name="SHS and RHS" sheetId="22" state="hidden" r:id="rId7"/>
    <sheet name="RHS" sheetId="25" state="hidden" r:id="rId8"/>
    <sheet name="PFC and FB" sheetId="26" state="hidden" r:id="rId9"/>
    <sheet name="UB" sheetId="27" state="hidden" r:id="rId10"/>
  </sheets>
  <definedNames>
    <definedName name="_xlnm._FilterDatabase" localSheetId="3" hidden="1">'Total Table'!$A$1:$I$4106</definedName>
    <definedName name="endCutOffLength">'Steel Reuse Dashboard'!$E$3</definedName>
  </definedNames>
  <calcPr calcId="191028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9" l="1" a="1"/>
  <c r="I1" i="19" s="1"/>
  <c r="P11" i="19" l="1"/>
  <c r="K1" i="19" a="1"/>
  <c r="K1" i="19" s="1"/>
  <c r="D1" i="19" a="1"/>
  <c r="D1" i="19" s="1"/>
  <c r="C1" i="19" a="1"/>
  <c r="C1" i="19" s="1"/>
  <c r="B1" i="19" a="1"/>
  <c r="B1" i="19" s="1"/>
  <c r="A1" i="19" a="1"/>
  <c r="A1" i="19" s="1"/>
  <c r="P7" i="19" l="1"/>
  <c r="L1" i="19" a="1"/>
  <c r="L1" i="19" s="1"/>
  <c r="M1" i="19" s="1" a="1"/>
  <c r="M1" i="19" s="1"/>
  <c r="H1" i="19" s="1" a="1"/>
  <c r="H1" i="19" s="1"/>
  <c r="P8" i="19"/>
  <c r="E1" i="19" a="1"/>
  <c r="E1" i="19" s="1"/>
  <c r="F1" i="19" l="1" a="1"/>
  <c r="F1" i="19" s="1"/>
  <c r="G1" i="19" s="1" a="1"/>
  <c r="G1" i="19" s="1"/>
  <c r="P6" i="19"/>
  <c r="P13" i="19" l="1"/>
  <c r="P12" i="19" s="1"/>
  <c r="P2" i="19"/>
  <c r="P3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<sst xmlns="http://schemas.openxmlformats.org/spreadsheetml/2006/main" count="168" uniqueCount="122">
  <si>
    <t>uEqWJAer</t>
  </si>
  <si>
    <t>ExplodeCaller</t>
  </si>
  <si>
    <t>BHoM.Explode</t>
  </si>
  <si>
    <t>GetPropertyCaller</t>
  </si>
  <si>
    <t>Engine.GetProperty</t>
  </si>
  <si>
    <t>QueryCaller</t>
  </si>
  <si>
    <t>Query.Library.Library?by_String</t>
  </si>
  <si>
    <t>INPUT VARIABLES</t>
  </si>
  <si>
    <t>Element cutoff at either end</t>
  </si>
  <si>
    <t>m</t>
  </si>
  <si>
    <t xml:space="preserve">Round down element lengths </t>
  </si>
  <si>
    <t>Remove section from graph if &lt;</t>
  </si>
  <si>
    <t>-</t>
  </si>
  <si>
    <t>Section Family</t>
  </si>
  <si>
    <t>Section Name</t>
  </si>
  <si>
    <t>Section Area</t>
  </si>
  <si>
    <t>Total Length</t>
  </si>
  <si>
    <t>UB</t>
  </si>
  <si>
    <t>UB 406x178x74</t>
  </si>
  <si>
    <t>UB 305x127x48</t>
  </si>
  <si>
    <t>UB 254x146x31</t>
  </si>
  <si>
    <t>UB 203x133x25</t>
  </si>
  <si>
    <t>UB 305x165x54</t>
  </si>
  <si>
    <t>UB 254x146x43</t>
  </si>
  <si>
    <t>UB 457x191x98</t>
  </si>
  <si>
    <t>UB 305x127x42</t>
  </si>
  <si>
    <t>UB 356x171x57</t>
  </si>
  <si>
    <t>UB 305x165x46</t>
  </si>
  <si>
    <t>UC</t>
  </si>
  <si>
    <t>UC 356x406x393</t>
  </si>
  <si>
    <t>UC 356x406x287</t>
  </si>
  <si>
    <t>UB 356x171x67</t>
  </si>
  <si>
    <t>UB 356x127x39</t>
  </si>
  <si>
    <t>UB 533x210x122</t>
  </si>
  <si>
    <t>UB 457x152x52</t>
  </si>
  <si>
    <t>UB 254x102x22</t>
  </si>
  <si>
    <t>UB 610x305x238</t>
  </si>
  <si>
    <t>UB 356x171x45</t>
  </si>
  <si>
    <t>UB 610x229x125</t>
  </si>
  <si>
    <t>UB 610x229x140</t>
  </si>
  <si>
    <t>UB 610x229x101</t>
  </si>
  <si>
    <t>UB 457x152x67</t>
  </si>
  <si>
    <t>UB 457x152x82</t>
  </si>
  <si>
    <t>UB 356x171x51</t>
  </si>
  <si>
    <t>UB 305x102x28</t>
  </si>
  <si>
    <t>UB 533x210x92</t>
  </si>
  <si>
    <t>UB 254x102x25</t>
  </si>
  <si>
    <t>UB 305x102x33</t>
  </si>
  <si>
    <t>RSC 254x76</t>
  </si>
  <si>
    <t>RSC 432x102</t>
  </si>
  <si>
    <t>UB 356x127x33</t>
  </si>
  <si>
    <t>UB 533x210x82</t>
  </si>
  <si>
    <t>UB 457x152x74</t>
  </si>
  <si>
    <t>UB 254x102x28</t>
  </si>
  <si>
    <t>UB 457x191x74</t>
  </si>
  <si>
    <t>UB 457x152x60</t>
  </si>
  <si>
    <t>UB 305x102x25</t>
  </si>
  <si>
    <t>UB 406x140x46</t>
  </si>
  <si>
    <t>RSC 305x89</t>
  </si>
  <si>
    <t>RSC 178x76</t>
  </si>
  <si>
    <t>RSC 152x76</t>
  </si>
  <si>
    <t>UB 406x140x39</t>
  </si>
  <si>
    <t>RHS</t>
  </si>
  <si>
    <t>RSC 152x89</t>
  </si>
  <si>
    <t>RHS 300x200x16.0</t>
  </si>
  <si>
    <t>CHS</t>
  </si>
  <si>
    <t>CHS 114.3x3.6</t>
  </si>
  <si>
    <t>UC 203x203x46</t>
  </si>
  <si>
    <t>UB 533x210x101</t>
  </si>
  <si>
    <t>UB 203x133x30</t>
  </si>
  <si>
    <t>UC 305x305x198</t>
  </si>
  <si>
    <t>UB 406x178x67</t>
  </si>
  <si>
    <t>UC 254x254x107</t>
  </si>
  <si>
    <t>UB 457x191x82</t>
  </si>
  <si>
    <t>UC 305x305x240</t>
  </si>
  <si>
    <t>UC 305x305x158</t>
  </si>
  <si>
    <t>UB 686x254x125</t>
  </si>
  <si>
    <t>UC 305x305x118</t>
  </si>
  <si>
    <t>UC 305x305x97</t>
  </si>
  <si>
    <t>UC 305x305x137</t>
  </si>
  <si>
    <t>UB 406x178x54</t>
  </si>
  <si>
    <t>UB 406x178x60</t>
  </si>
  <si>
    <t>UC 254x254x89</t>
  </si>
  <si>
    <t>UC 203x203x86</t>
  </si>
  <si>
    <t>UC 254x254x167</t>
  </si>
  <si>
    <t>UC 254x254x132</t>
  </si>
  <si>
    <t>UC 254x254x73</t>
  </si>
  <si>
    <t>CHS 139.7x5.0</t>
  </si>
  <si>
    <t>UC 203x203x52</t>
  </si>
  <si>
    <t>UC 356x406x551</t>
  </si>
  <si>
    <t>UC 203x203x71</t>
  </si>
  <si>
    <t>UC 152x152x23</t>
  </si>
  <si>
    <t>UC 152x152x30</t>
  </si>
  <si>
    <t>SHS 200x200x12.5</t>
  </si>
  <si>
    <t>SHS 200x200x16.0</t>
  </si>
  <si>
    <t>SHS 180x180x12.5</t>
  </si>
  <si>
    <t>SHS 180x180x8.0</t>
  </si>
  <si>
    <t>SHS 180x180x10.0</t>
  </si>
  <si>
    <t>SHS 200x200x10.0</t>
  </si>
  <si>
    <t>Summary Graphs - Excluded in Data</t>
  </si>
  <si>
    <t>Shown</t>
  </si>
  <si>
    <t>Excluded</t>
  </si>
  <si>
    <t>Summary Graphs - Proportion of NA</t>
  </si>
  <si>
    <t>List</t>
  </si>
  <si>
    <t>Known</t>
  </si>
  <si>
    <t>YES</t>
  </si>
  <si>
    <t>Unknown</t>
  </si>
  <si>
    <t>Total</t>
  </si>
  <si>
    <t>Planned for Reuse</t>
  </si>
  <si>
    <t>Reused</t>
  </si>
  <si>
    <t>Remaining Known</t>
  </si>
  <si>
    <t>Total (excl. NA)</t>
  </si>
  <si>
    <t>Plot</t>
  </si>
  <si>
    <t>Sum of Total Volume</t>
  </si>
  <si>
    <t>Column Labels</t>
  </si>
  <si>
    <t>Row Labels</t>
  </si>
  <si>
    <t>Grand Total</t>
  </si>
  <si>
    <t>(Multiple Items)</t>
  </si>
  <si>
    <t>Reuse Strategy</t>
  </si>
  <si>
    <t>{ "SelectedItem" : { "_t" : "System.Reflection.MethodBase", "TypeName" : "{ \"_t\" : \"System.Type\", \"Name\" : \"BH.Engine.Excel.Query, ExcelUI_Engine, Version=8.0.0.0, Culture=neutral, PublicKeyToken=null\", \"_bhomVersion\" : \"8.0\" }", "MethodName" : "Explode", "Parameters" : ["{ \"_t\" : \"System.Type\", \"Name\" : \"System.Collections.Generic.List`1, mscorlib, Version=4.0.0.0, Culture=neutral, PublicKeyToken=b77a5c561934e089\", \"GenericArguments\" : [{ \"_t\" : \"System.Type\", \"Name\" : \"System.Object, mscorlib, Version=4.0.0.0, Culture=neutral, PublicKeyToken=b77a5c561934e089\", \"_bhomVersion\" : \"8.0\" }], \"_bhomVersion\" : \"8.0\" }", "{ \"_t\" : \"System.Type\", \"Name\" : \"System.Boolean, mscorlib, Version=4.0.0.0, Culture=neutral, PublicKeyToken=b77a5c561934e089\", \"_bhomVersion\" : \"8.0\" }", "{ \"_t\" : \"System.Type\", \"Name\" : \"System.Boolean, mscorlib, Version=4.0.0.0, Culture=neutral, PublicKeyToken=b77a5c561934e089\", \"_bhomVersion\" : \"8.0\" }", "{ \"_t\" : \"System.Type\", \"Name\" : \"System.Boolean, mscorlib, Version=4.0.0.0, Culture=neutral, PublicKeyToken=b77a5c561934e089\", \"_bhomVersion\" : \"8.0\" }"], "_bhomVersion" : "8.0" }, "InputParams" : { "_t" : "System.Collections.Generic.List`1[[BH.oM.UI.ParamInfo, UI_oM, Version=8.0.0.0, Culture=neutral, PublicKeyToken=null]]", "_v" : [{ "_t" : "BH.oM.UI.ParamInfo", "DataType" : { "_t" : "System.Type", "Name" : "System.Collections.Generic.List`1, mscorlib, Version=4.0.0.0, Culture=neutral, PublicKeyToken=b77a5c561934e089", "GenericArguments" : [{ "_t" : "System.Type", "Name" : "System.Object, mscorlib, Version=4.0.0.0, Culture=neutral, PublicKeyToken=b77a5c561934e089", "_bhomVersion" : "8.0" }], "_bhomVersion" : "8.0" }, "Description" : "Objects to explode\r\nThis is a List&lt;Object&gt;", "Kind" : "Input", "HasDefaultValue" : false, "DefaultValue" : null, "IsRequired" : true, "IsSelected" : true, "DefaultValueWarning" : "", "BHoM_Guid" : "69d63d35-3912-4137-8023-e126617cb9b9", "Name" : "objects" }, { "_t" : "BH.oM.UI.ParamInfo", "DataType" : { "_t" : "System.Type", "Name" : "System.Boolean, mscorlib, Version=4.0.0.0, Culture=neutral, PublicKeyToken=b77a5c561934e089", "_bhomVersion" : "8.0" }, "Description" : "Include the name of the properties\r\nThis is a Boolean", "Kind" : "Input", "HasDefaultValue" : true, "DefaultValue" : false, "IsRequired" : false, "IsSelected" : true, "DefaultValueWarning" : "", "BHoM_Guid" : "399a50a8-1e72-4b87-98ae-aee2c835d379", "Name" : "includePropertyNames" }, { "_t" : "BH.oM.UI.ParamInfo", "DataType" : { "_t" : "System.Type", "Name" : "System.Boolean, mscorlib, Version=4.0.0.0, Culture=neutral, PublicKeyToken=b77a5c561934e089", "_bhomVersion" : "8.0" }, "Description" : "Explode inner objects\r\nThis is a Boolean", "Kind" : "Input", "HasDefaultValue" : true, "DefaultValue" : false, "IsRequired" : false, "IsSelected" : true, "DefaultValueWarning" : "", "BHoM_Guid" : "7713c30b-79e1-4a7c-a8c6-83474290ac26", "Name" : "goDeep" }, { "_t" : "BH.oM.UI.ParamInfo", "DataType" : { "_t" : "System.Type", "Name" : "System.Boolean, mscorlib, Version=4.0.0.0, Culture=neutral, PublicKeyToken=b77a5c561934e089", "_bhomVersion" : "8.0" }, "Description" : "Transpose the resulting table (i.e. one object per column instead of per row)\r\nThis is a Boolean", "Kind" : "Input", "HasDefaultValue" : true, "DefaultValue" : false, "IsRequired" : false, "IsSelected" : true, "DefaultValueWarning" : "", "BHoM_Guid" : "b270f495-7dcf-43cf-bf31-a49695473a36", "Name" : "transpose" }] }, "OutputParams"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"8.0" }, "Description" : "This is a Object", "Kind" : "Output", "HasDefaultValue" : false, "DefaultValue" : null, "IsRequired" : true, "IsSelected" : true, "DefaultValueWarning" : "", "BHoM_Guid" : "63ee652d-11c3-4847-8f91-2645786248d1", "Name" : "O" }] }, "BHoM_Guid" : "f25e193c-1d42-4171-90fe-d35c19e7e6e9", "_bhomVersion" : "8.0" }</t>
  </si>
  <si>
    <t>{ "SelectedItem" : { "_t" : "System.Reflection.MethodBase", "TypeName" : "{ \"_t\" : \"System.Type\", \"Name\" : \"BH.UI.Base.Components.GetPropertyCaller, BHoM_UI, Version=8.0.0.0, Culture=neutral, PublicKeyToken=null\", \"_bhomVersion\" : \"8.0\" }", "MethodName" : "GetProperty", "Parameters" : ["{ \"_t\" : \"System.Type\", \"Name\" : \"System.Object, mscorlib, Version=4.0.0.0, Culture=neutral, PublicKeyToken=b77a5c561934e089\", \"_bhomVersion\" : \"8.0\" }", "{ \"_t\" : \"System.Type\", \"Name\" : \"System.String, mscorlib, Version=4.0.0.0, Culture=neutral, PublicKeyToken=b77a5c561934e089\", \"_bhomVersion\" : \"8.0\" }"], "_bhomVersion" : "8.0" }, "InputParams"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"8.0" }, "Description" : "Object to extract the property value from. Can be a list of objects.\r\nThis is a Object", "Kind" : "Input", "HasDefaultValue" : false, "DefaultValue" : null, "IsRequired" : true, "IsSelected" : true, "DefaultValueWarning" : "", "BHoM_Guid" : "19269c0a-25c3-4c88-b9db-b334e7201e13", "Name" : "obj" }, { "_t" : "BH.oM.UI.ParamInfo", "DataType" : { "_t" : "System.Type", "Name" : "System.String, mscorlib, Version=4.0.0.0, Culture=neutral, PublicKeyToken=b77a5c561934e089", "_bhomVersion" : "8.0" }, "Description" : "Name of the property to extract. Can be a list of names.\nYou can use the dot notation to access nested properties: e.g. for e.g. for a BH.oM.Structure.Bar, you can input 'StartNode.Position' to get the BH.oM.Geometry.Point.\nTo know what property names you can specify for a given object, connect your object to a BHoM `Explode` component.\r\nThis is a String", "Kind" : "Input", "HasDefaultValue" : false, "DefaultValue" : null, "IsRequired" : true, "IsSelected" : true, "DefaultValueWarning" : "", "BHoM_Guid" : "91ef3607-7b74-44fb-85dd-3ac3ed1f94ff", "Name" : "propName" }] }, "OutputParams"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"8.0" }, "Description" : "Extracted values.\r\nThis is a Object", "Kind" : "Output", "HasDefaultValue" : false, "DefaultValue" : null, "IsRequired" : true, "IsSelected" : true, "DefaultValueWarning" : "", "BHoM_Guid" : "4277118e-d966-42d8-bf9f-1155b7433588", "Name" : "Value" }] }, "BHoM_Guid" : "0c675fca-9dc7-4d62-bb6e-31775ee743e9", "_bhomVersion" : "8.0" }</t>
  </si>
  <si>
    <t>{ "SelectedItem" : { "_t" : "System.Reflection.MethodBase", "TypeName" : "{ \"_t\" : \"System.Type\", \"Name\" : \"BH.Engine.Library.Query, Library_Engine, Version=8.0.0.0, Culture=neutral, PublicKeyToken=null\", \"_bhomVersion\" : \"8.0\" }", "MethodName" : "Library", "Parameters" : ["{ \"_t\" : \"System.Type\", \"Name\" : \"System.String, mscorlib, Version=4.0.0.0, Culture=neutral, PublicKeyToken=b77a5c561934e089\", \"_bhomVersion\" : \"8.0\" }"], "_bhomVersion" : "8.0" }, "InputParams" : { "_t" : "System.Collections.Generic.List`1[[BH.oM.UI.ParamInfo, UI_oM, Version=8.0.0.0, Culture=neutral, PublicKeyToken=null]]", "_v" : [{ "_t" : "BH.oM.UI.ParamInfo", "DataType" : { "_t" : "System.Type", "Name" : "System.String, mscorlib, Version=4.0.0.0, Culture=neutral, PublicKeyToken=b77a5c561934e089", "_bhomVersion" : "8.0" }, "Description" : "The name of the Dataset(s) to extract.\r\nThis is a String", "Kind" : "Input", "HasDefaultValue" : false, "DefaultValue" : null, "IsRequired" : true, "IsSelected" : true, "DefaultValueWarning" : "", "BHoM_Guid" : "d5ce237b-ee06-46ec-b903-c83dfa153c93", "Name" : "libraryName" }] }, "OutputParams" : { "_t" : "System.Collections.Generic.List`1[[BH.oM.UI.ParamInfo, UI_oM, Version=8.0.0.0, Culture=neutral, PublicKeyToken=null]]", "_v" : [{ "_t" : "BH.oM.UI.ParamInfo", "DataType" : { "_t" : "System.Type", "Name" : "System.Collections.Generic.List`1, mscorlib, Version=4.0.0.0, Culture=neutral, PublicKeyToken=b77a5c561934e089", "GenericArguments" : [{ "_t" : "System.Type", "Name" : "BH.oM.Base.IBHoMObject", "_bhomVersion" : "8.0" }], "_bhomVersion" : "8.0" }, "Description" : "The data from the Dataset(s).\r\nThis is a List&lt;IBHoMObject&gt;\r\nThis can be of the following types: TagLayoutQualityPreset, TagSettings, ScoreWeightings, PointTagSettings, GlobalTagSettings, CurveTagSettings, BaseTagSettings, AreaTagSettings, TagViewInfo, TagType, TagLayout, TagInstanceSettings, TagHost, PointTagHost, PointHostsBySettings, and more...", "Kind" : "Output", "HasDefaultValue" : false, "DefaultValue" : null, "IsRequired" : true, "IsSelected" : true, "DefaultValueWarning" : "", "BHoM_Guid" : "6ccd37a3-9914-4fa0-9a72-4901471df4cd", "Name" : "libraryData" }] }, "BHoM_Guid" : "49539525-7b77-479f-a67c-c15510bea420", "_bhomVersion" : "8.0"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</si>
</sst>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9"/>
      <color theme="1"/>
      <name val="Segoe UI"/>
      <family val="2"/>
    </font>
    <font>
      <b/>
      <sz val="9"/>
      <color theme="1"/>
      <name val="Segoe UI"/>
      <family val="2"/>
    </font>
    <font>
      <sz val="10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applyFont="1"/>
    <xf numFmtId="0" fontId="2" fillId="0" borderId="0" xfId="1"/>
    <xf numFmtId="1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1" applyFont="1"/>
    <xf numFmtId="0" fontId="2" fillId="0" borderId="0" xfId="1" applyFill="1" applyBorder="1" applyAlignment="1">
      <alignment vertical="top" wrapText="1"/>
    </xf>
    <xf numFmtId="0" fontId="2" fillId="0" borderId="0" xfId="1" applyFill="1" applyBorder="1"/>
    <xf numFmtId="0" fontId="2" fillId="0" borderId="0" xfId="1" applyFill="1" applyBorder="1" applyAlignment="1"/>
    <xf numFmtId="0" fontId="1" fillId="4" borderId="0" xfId="0" applyFont="1" applyFill="1" applyAlignment="1">
      <alignment horizontal="center"/>
    </xf>
    <xf numFmtId="0" fontId="3" fillId="0" borderId="0" xfId="1" applyFont="1" applyAlignment="1">
      <alignment wrapText="1"/>
    </xf>
    <xf numFmtId="0" fontId="0" fillId="0" borderId="0" xfId="0" applyNumberFormat="1"/>
    <xf numFmtId="0" fontId="1" fillId="5" borderId="2" xfId="0" applyFont="1" applyFill="1" applyBorder="1"/>
    <xf numFmtId="0" fontId="1" fillId="5" borderId="3" xfId="0" applyFont="1" applyFill="1" applyBorder="1"/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/>
    <xf numFmtId="0" fontId="3" fillId="2" borderId="1" xfId="1" applyFont="1" applyFill="1" applyBorder="1" applyAlignment="1">
      <alignment horizontal="center"/>
    </xf>
    <xf numFmtId="0" fontId="2" fillId="2" borderId="1" xfId="1" applyFill="1" applyBorder="1" applyAlignment="1">
      <alignment horizontal="center" vertical="center"/>
    </xf>
    <xf numFmtId="0" fontId="2" fillId="2" borderId="1" xfId="1" applyFill="1" applyBorder="1" applyAlignment="1">
      <alignment horizontal="left" vertical="center" wrapText="1"/>
    </xf>
    <xf numFmtId="0" fontId="2" fillId="3" borderId="1" xfId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</cellXfs>
  <cellStyles count="2">
    <cellStyle name="Normal" xfId="0" builtinId="0"/>
    <cellStyle name="Normal 2" xfId="1" xr:uid="{B97F0277-DDFE-41BB-AF71-0D405DF04021}"/>
  </cellStyles>
  <dxfs count="3"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FF66"/>
      <color rgb="FF740056"/>
      <color rgb="FFFF99FF"/>
      <color rgb="FFFEF5B4"/>
      <color rgb="FFEDF0DA"/>
      <color rgb="FFFF5D5D"/>
      <color rgb="FFFF7C80"/>
      <color rgb="FFFFB7B7"/>
      <color rgb="FFCC0000"/>
      <color rgb="FF5B7E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050"/>
              <a:t>Known vs. Unknown Elements by Length (m)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</c:spPr>
          <c:explosion val="5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43-4C30-A2E9-B7970870F219}"/>
              </c:ext>
            </c:extLst>
          </c:dPt>
          <c:dPt>
            <c:idx val="1"/>
            <c:bubble3D val="0"/>
            <c:spPr>
              <a:solidFill>
                <a:srgbClr val="CC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43-4C30-A2E9-B7970870F2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Table'!$O$6:$O$7</c:f>
              <c:strCache>
                <c:ptCount val="2"/>
                <c:pt idx="0">
                  <c:v>Known</c:v>
                </c:pt>
                <c:pt idx="1">
                  <c:v>Unknown</c:v>
                </c:pt>
              </c:strCache>
            </c:strRef>
          </c:cat>
          <c:val>
            <c:numRef>
              <c:f>'Total Table'!$P$6:$P$7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3-4C30-A2E9-B7970870F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>
      <c:oddHeader>&amp;L&amp;G&amp;C 059950 Project Domino
&amp;A
Rev01&amp;R&amp;D
Created by: M Ruckert
Checked by: D Tringale</c:oddHeader>
    </c:headerFooter>
    <c:pageMargins b="0.75" l="0.7" r="0.7" t="0.75" header="0.3" footer="0.3"/>
    <c:pageSetup paperSize="150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050"/>
              <a:t>Section</a:t>
            </a:r>
            <a:r>
              <a:rPr lang="en-GB" sz="1050" baseline="0"/>
              <a:t> Types Excluded from Graphs by Volume</a:t>
            </a:r>
            <a:endParaRPr lang="en-GB" sz="105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CF-48F1-8929-ABF0AF178DF0}"/>
              </c:ext>
            </c:extLst>
          </c:dPt>
          <c:dPt>
            <c:idx val="1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CF-48F1-8929-ABF0AF178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Table'!$O$2:$O$3</c:f>
              <c:strCache>
                <c:ptCount val="2"/>
                <c:pt idx="0">
                  <c:v>Shown</c:v>
                </c:pt>
                <c:pt idx="1">
                  <c:v>Excluded</c:v>
                </c:pt>
              </c:strCache>
            </c:strRef>
          </c:cat>
          <c:val>
            <c:numRef>
              <c:f>'Total Table'!$P$2:$P$3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CF-48F1-8929-ABF0AF178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050"/>
              <a:t>Sections Planned</a:t>
            </a:r>
            <a:r>
              <a:rPr lang="en-GB" sz="1050" baseline="0"/>
              <a:t> for Reuse by Volume</a:t>
            </a:r>
            <a:endParaRPr lang="en-GB" sz="105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72-41D0-ADA1-2A2B58FFEF6A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72-41D0-ADA1-2A2B58FFEF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Table'!$O$11:$O$12</c:f>
              <c:strCache>
                <c:ptCount val="2"/>
                <c:pt idx="0">
                  <c:v>Reused</c:v>
                </c:pt>
                <c:pt idx="1">
                  <c:v>Remaining Known</c:v>
                </c:pt>
              </c:strCache>
            </c:strRef>
          </c:cat>
          <c:val>
            <c:numRef>
              <c:f>'Total Table'!$P$11:$P$12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72-41D0-ADA1-2A2B58FFE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[Database_Graphs.xlsm]CHS!PivotTable5</c:name>
    <c:fmtId val="8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CHS!$B$4:$B$5</c:f>
              <c:strCache>
                <c:ptCount val="1"/>
                <c:pt idx="0">
                  <c:v>CHS 114.3x3.6</c:v>
                </c:pt>
              </c:strCache>
            </c:strRef>
          </c:tx>
          <c:spPr>
            <a:solidFill>
              <a:schemeClr val="accent1">
                <a:tint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CHS!$A$6:$A$11</c:f>
              <c:strCache>
                <c:ptCount val="5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</c:strCache>
            </c:strRef>
          </c:cat>
          <c:val>
            <c:numRef>
              <c:f>CHS!$B$6:$B$11</c:f>
              <c:numCache>
                <c:formatCode>General</c:formatCode>
                <c:ptCount val="5"/>
                <c:pt idx="0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33-4B81-9DF0-2CF51E08FAF7}"/>
            </c:ext>
          </c:extLst>
        </c:ser>
        <c:ser>
          <c:idx val="1"/>
          <c:order val="1"/>
          <c:tx>
            <c:strRef>
              <c:f>CHS!$C$4:$C$5</c:f>
              <c:strCache>
                <c:ptCount val="1"/>
                <c:pt idx="0">
                  <c:v>CHS 139.7x5.0</c:v>
                </c:pt>
              </c:strCache>
            </c:strRef>
          </c:tx>
          <c:spPr>
            <a:solidFill>
              <a:schemeClr val="accent1">
                <a:shade val="7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CHS!$A$6:$A$11</c:f>
              <c:strCache>
                <c:ptCount val="5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</c:strCache>
            </c:strRef>
          </c:cat>
          <c:val>
            <c:numRef>
              <c:f>CHS!$C$6:$C$11</c:f>
              <c:numCache>
                <c:formatCode>General</c:formatCode>
                <c:ptCount val="5"/>
                <c:pt idx="1">
                  <c:v>7.6319999999999985E-2</c:v>
                </c:pt>
                <c:pt idx="2">
                  <c:v>0.11871999999999996</c:v>
                </c:pt>
                <c:pt idx="3">
                  <c:v>3.3919999999999999E-2</c:v>
                </c:pt>
                <c:pt idx="4">
                  <c:v>3.8159999999999999E-2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33-4B81-9DF0-2CF51E08F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[Database_Graphs.xlsm]SHS and RHS!PivotTable5</c:name>
    <c:fmtId val="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'SHS and RHS'!$B$4:$B$5</c:f>
              <c:strCache>
                <c:ptCount val="1"/>
                <c:pt idx="0">
                  <c:v>RHS 300x200x16.0</c:v>
                </c:pt>
              </c:strCache>
            </c:strRef>
          </c:tx>
          <c:spPr>
            <a:solidFill>
              <a:schemeClr val="accent1">
                <a:tint val="4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RHS'!$B$6:$B$15</c:f>
              <c:numCache>
                <c:formatCode>General</c:formatCode>
                <c:ptCount val="9"/>
                <c:pt idx="0">
                  <c:v>0</c:v>
                </c:pt>
                <c:pt idx="1">
                  <c:v>2.9399999999999999E-2</c:v>
                </c:pt>
                <c:pt idx="2">
                  <c:v>0.1764</c:v>
                </c:pt>
                <c:pt idx="3">
                  <c:v>5.8799999999999998E-2</c:v>
                </c:pt>
                <c:pt idx="4">
                  <c:v>7.3499999999999996E-2</c:v>
                </c:pt>
                <c:pt idx="5">
                  <c:v>0.3528</c:v>
                </c:pt>
                <c:pt idx="6">
                  <c:v>0.61739999999999995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D-4DC4-92B4-CE645D862CF1}"/>
            </c:ext>
          </c:extLst>
        </c:ser>
        <c:ser>
          <c:idx val="1"/>
          <c:order val="1"/>
          <c:tx>
            <c:strRef>
              <c:f>'SHS and RHS'!$C$4:$C$5</c:f>
              <c:strCache>
                <c:ptCount val="1"/>
                <c:pt idx="0">
                  <c:v>SHS 200x200x12.5</c:v>
                </c:pt>
              </c:strCache>
            </c:strRef>
          </c:tx>
          <c:spPr>
            <a:solidFill>
              <a:schemeClr val="accent1">
                <a:tint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RHS'!$C$6:$C$15</c:f>
              <c:numCache>
                <c:formatCode>General</c:formatCode>
                <c:ptCount val="9"/>
                <c:pt idx="2">
                  <c:v>2.7629999999999998E-2</c:v>
                </c:pt>
                <c:pt idx="3">
                  <c:v>0.29471999999999993</c:v>
                </c:pt>
                <c:pt idx="4">
                  <c:v>1.0131000000000001</c:v>
                </c:pt>
                <c:pt idx="5">
                  <c:v>1.2157199999999999</c:v>
                </c:pt>
                <c:pt idx="6">
                  <c:v>0.51576000000000011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8D-4DC4-92B4-CE645D862CF1}"/>
            </c:ext>
          </c:extLst>
        </c:ser>
        <c:ser>
          <c:idx val="2"/>
          <c:order val="2"/>
          <c:tx>
            <c:strRef>
              <c:f>'SHS and RHS'!$D$4:$D$5</c:f>
              <c:strCache>
                <c:ptCount val="1"/>
                <c:pt idx="0">
                  <c:v>SHS 200x200x16.0</c:v>
                </c:pt>
              </c:strCache>
            </c:strRef>
          </c:tx>
          <c:spPr>
            <a:solidFill>
              <a:schemeClr val="accent1">
                <a:tint val="8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RHS'!$D$6:$D$15</c:f>
              <c:numCache>
                <c:formatCode>General</c:formatCode>
                <c:ptCount val="9"/>
                <c:pt idx="3">
                  <c:v>0.36799999999999994</c:v>
                </c:pt>
                <c:pt idx="4">
                  <c:v>0.45999999999999996</c:v>
                </c:pt>
                <c:pt idx="6">
                  <c:v>0.161</c:v>
                </c:pt>
                <c:pt idx="7">
                  <c:v>1.8400000000000005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8D-4DC4-92B4-CE645D862CF1}"/>
            </c:ext>
          </c:extLst>
        </c:ser>
        <c:ser>
          <c:idx val="3"/>
          <c:order val="3"/>
          <c:tx>
            <c:strRef>
              <c:f>'SHS and RHS'!$E$4:$E$5</c:f>
              <c:strCache>
                <c:ptCount val="1"/>
                <c:pt idx="0">
                  <c:v>SHS 180x180x12.5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RHS'!$E$6:$E$15</c:f>
              <c:numCache>
                <c:formatCode>General</c:formatCode>
                <c:ptCount val="9"/>
                <c:pt idx="4">
                  <c:v>1.9293500000000012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8D-4DC4-92B4-CE645D862CF1}"/>
            </c:ext>
          </c:extLst>
        </c:ser>
        <c:ser>
          <c:idx val="4"/>
          <c:order val="4"/>
          <c:tx>
            <c:strRef>
              <c:f>'SHS and RHS'!$F$4:$F$5</c:f>
              <c:strCache>
                <c:ptCount val="1"/>
                <c:pt idx="0">
                  <c:v>SHS 180x180x8.0</c:v>
                </c:pt>
              </c:strCache>
            </c:strRef>
          </c:tx>
          <c:spPr>
            <a:solidFill>
              <a:schemeClr val="accent1">
                <a:shade val="8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RHS'!$F$6:$F$15</c:f>
              <c:numCache>
                <c:formatCode>General</c:formatCode>
                <c:ptCount val="9"/>
                <c:pt idx="4">
                  <c:v>1.0336000000000003</c:v>
                </c:pt>
                <c:pt idx="5">
                  <c:v>6.5280000000000005E-2</c:v>
                </c:pt>
                <c:pt idx="7">
                  <c:v>0.34816000000000003</c:v>
                </c:pt>
                <c:pt idx="8">
                  <c:v>0.19584000000000001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8D-4DC4-92B4-CE645D862CF1}"/>
            </c:ext>
          </c:extLst>
        </c:ser>
        <c:ser>
          <c:idx val="5"/>
          <c:order val="5"/>
          <c:tx>
            <c:strRef>
              <c:f>'SHS and RHS'!$G$4:$G$5</c:f>
              <c:strCache>
                <c:ptCount val="1"/>
                <c:pt idx="0">
                  <c:v>SHS 180x180x10.0</c:v>
                </c:pt>
              </c:strCache>
            </c:strRef>
          </c:tx>
          <c:spPr>
            <a:solidFill>
              <a:schemeClr val="accent1">
                <a:shade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RHS'!$G$6:$G$15</c:f>
              <c:numCache>
                <c:formatCode>General</c:formatCode>
                <c:ptCount val="9"/>
                <c:pt idx="3">
                  <c:v>0.42816000000000004</c:v>
                </c:pt>
                <c:pt idx="4">
                  <c:v>1.0034999999999996</c:v>
                </c:pt>
                <c:pt idx="5">
                  <c:v>0.60209999999999997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8D-4DC4-92B4-CE645D862CF1}"/>
            </c:ext>
          </c:extLst>
        </c:ser>
        <c:ser>
          <c:idx val="6"/>
          <c:order val="6"/>
          <c:tx>
            <c:strRef>
              <c:f>'SHS and RHS'!$H$4:$H$5</c:f>
              <c:strCache>
                <c:ptCount val="1"/>
                <c:pt idx="0">
                  <c:v>SHS 200x200x10.0</c:v>
                </c:pt>
              </c:strCache>
            </c:strRef>
          </c:tx>
          <c:spPr>
            <a:solidFill>
              <a:schemeClr val="accent1">
                <a:shade val="4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RHS'!$H$6:$H$15</c:f>
              <c:numCache>
                <c:formatCode>General</c:formatCode>
                <c:ptCount val="9"/>
                <c:pt idx="3">
                  <c:v>0.47935999999999984</c:v>
                </c:pt>
                <c:pt idx="4">
                  <c:v>0.97369999999999968</c:v>
                </c:pt>
                <c:pt idx="5">
                  <c:v>0.89879999999999971</c:v>
                </c:pt>
                <c:pt idx="7">
                  <c:v>5.9920000000000001E-2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8D-4DC4-92B4-CE645D862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[Database_Graphs.xlsm]PFC and FB!PivotTable5</c:name>
    <c:fmtId val="8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'PFC and FB'!$B$4:$B$5</c:f>
              <c:strCache>
                <c:ptCount val="1"/>
                <c:pt idx="0">
                  <c:v>RSC 254x76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FB'!$B$6:$B$11</c:f>
              <c:numCache>
                <c:formatCode>General</c:formatCode>
                <c:ptCount val="5"/>
                <c:pt idx="3">
                  <c:v>0.29484000000000005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9-4C3E-96D0-7991BFF4B38A}"/>
            </c:ext>
          </c:extLst>
        </c:ser>
        <c:ser>
          <c:idx val="1"/>
          <c:order val="1"/>
          <c:tx>
            <c:strRef>
              <c:f>'PFC and FB'!$C$4:$C$5</c:f>
              <c:strCache>
                <c:ptCount val="1"/>
                <c:pt idx="0">
                  <c:v>RSC 432x102</c:v>
                </c:pt>
              </c:strCache>
            </c:strRef>
          </c:tx>
          <c:spPr>
            <a:solidFill>
              <a:schemeClr val="accent1">
                <a:tint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FB'!$C$6:$C$11</c:f>
              <c:numCache>
                <c:formatCode>General</c:formatCode>
                <c:ptCount val="5"/>
                <c:pt idx="4">
                  <c:v>1.3792799999999996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BD-4FC2-802B-839732EE9562}"/>
            </c:ext>
          </c:extLst>
        </c:ser>
        <c:ser>
          <c:idx val="2"/>
          <c:order val="2"/>
          <c:tx>
            <c:strRef>
              <c:f>'PFC and FB'!$D$4:$D$5</c:f>
              <c:strCache>
                <c:ptCount val="1"/>
                <c:pt idx="0">
                  <c:v>RSC 305x89</c:v>
                </c:pt>
              </c:strCache>
            </c:strRef>
          </c:tx>
          <c:spPr>
            <a:solidFill>
              <a:schemeClr val="accent1">
                <a:tint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FB'!$D$6:$D$11</c:f>
              <c:numCache>
                <c:formatCode>General</c:formatCode>
                <c:ptCount val="5"/>
                <c:pt idx="0">
                  <c:v>0</c:v>
                </c:pt>
                <c:pt idx="4">
                  <c:v>0.8853599999999997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BD-4FC2-802B-839732EE9562}"/>
            </c:ext>
          </c:extLst>
        </c:ser>
        <c:ser>
          <c:idx val="3"/>
          <c:order val="3"/>
          <c:tx>
            <c:strRef>
              <c:f>'PFC and FB'!$E$4:$E$5</c:f>
              <c:strCache>
                <c:ptCount val="1"/>
                <c:pt idx="0">
                  <c:v>RSC 178x76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FB'!$E$6:$E$11</c:f>
              <c:numCache>
                <c:formatCode>General</c:formatCode>
                <c:ptCount val="5"/>
                <c:pt idx="0">
                  <c:v>0</c:v>
                </c:pt>
                <c:pt idx="1">
                  <c:v>1.554E-2</c:v>
                </c:pt>
                <c:pt idx="2">
                  <c:v>6.2159999999999986E-2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BD-4FC2-802B-839732EE9562}"/>
            </c:ext>
          </c:extLst>
        </c:ser>
        <c:ser>
          <c:idx val="4"/>
          <c:order val="4"/>
          <c:tx>
            <c:strRef>
              <c:f>'PFC and FB'!$F$4:$F$5</c:f>
              <c:strCache>
                <c:ptCount val="1"/>
                <c:pt idx="0">
                  <c:v>RSC 152x76</c:v>
                </c:pt>
              </c:strCache>
            </c:strRef>
          </c:tx>
          <c:spPr>
            <a:solidFill>
              <a:schemeClr val="accent1">
                <a:shade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FB'!$F$6:$F$11</c:f>
              <c:numCache>
                <c:formatCode>General</c:formatCode>
                <c:ptCount val="5"/>
                <c:pt idx="0">
                  <c:v>0</c:v>
                </c:pt>
                <c:pt idx="1">
                  <c:v>0.12768000000000007</c:v>
                </c:pt>
                <c:pt idx="2">
                  <c:v>1.8239999999999999E-2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BD-4FC2-802B-839732EE9562}"/>
            </c:ext>
          </c:extLst>
        </c:ser>
        <c:ser>
          <c:idx val="5"/>
          <c:order val="5"/>
          <c:tx>
            <c:strRef>
              <c:f>'PFC and FB'!$G$4:$G$5</c:f>
              <c:strCache>
                <c:ptCount val="1"/>
                <c:pt idx="0">
                  <c:v>RSC 152x89</c:v>
                </c:pt>
              </c:strCache>
            </c:strRef>
          </c:tx>
          <c:spPr>
            <a:solidFill>
              <a:schemeClr val="accent1">
                <a:shade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FB'!$G$6:$G$11</c:f>
              <c:numCache>
                <c:formatCode>General</c:formatCode>
                <c:ptCount val="5"/>
                <c:pt idx="0">
                  <c:v>0</c:v>
                </c:pt>
                <c:pt idx="1">
                  <c:v>1.5200000000000002E-2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23-43D5-91A8-575464041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[Database_Graphs.xlsm]UC!PivotTable5</c:name>
    <c:fmtId val="6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7455946953999178E-2"/>
          <c:y val="0.11712523845501942"/>
          <c:w val="0.69015223097112854"/>
          <c:h val="0.7038395043127114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UC!$B$4:$B$5</c:f>
              <c:strCache>
                <c:ptCount val="1"/>
                <c:pt idx="0">
                  <c:v>UC 356x406x393</c:v>
                </c:pt>
              </c:strCache>
            </c:strRef>
          </c:tx>
          <c:spPr>
            <a:solidFill>
              <a:schemeClr val="accent1">
                <a:tint val="3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UC!$B$6:$B$20</c:f>
              <c:numCache>
                <c:formatCode>General</c:formatCode>
                <c:ptCount val="14"/>
                <c:pt idx="5">
                  <c:v>0.2505</c:v>
                </c:pt>
                <c:pt idx="6">
                  <c:v>0.90179999999999993</c:v>
                </c:pt>
                <c:pt idx="7">
                  <c:v>8.7674999999999965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E-4EC8-9C3A-51D6AB73C3E7}"/>
            </c:ext>
          </c:extLst>
        </c:ser>
        <c:ser>
          <c:idx val="1"/>
          <c:order val="1"/>
          <c:tx>
            <c:strRef>
              <c:f>UC!$C$4:$C$5</c:f>
              <c:strCache>
                <c:ptCount val="1"/>
                <c:pt idx="0">
                  <c:v>UC 356x406x287</c:v>
                </c:pt>
              </c:strCache>
            </c:strRef>
          </c:tx>
          <c:spPr>
            <a:solidFill>
              <a:schemeClr val="accent1">
                <a:tint val="4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UC!$C$6:$C$20</c:f>
              <c:numCache>
                <c:formatCode>General</c:formatCode>
                <c:ptCount val="14"/>
                <c:pt idx="3">
                  <c:v>0.21960000000000002</c:v>
                </c:pt>
                <c:pt idx="5">
                  <c:v>0.183</c:v>
                </c:pt>
                <c:pt idx="6">
                  <c:v>0.43920000000000003</c:v>
                </c:pt>
                <c:pt idx="7">
                  <c:v>2.0495999999999999</c:v>
                </c:pt>
                <c:pt idx="8">
                  <c:v>0.58560000000000001</c:v>
                </c:pt>
                <c:pt idx="9">
                  <c:v>0.98820000000000008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E-4EC8-9C3A-51D6AB73C3E7}"/>
            </c:ext>
          </c:extLst>
        </c:ser>
        <c:ser>
          <c:idx val="2"/>
          <c:order val="2"/>
          <c:tx>
            <c:strRef>
              <c:f>UC!$D$4:$D$5</c:f>
              <c:strCache>
                <c:ptCount val="1"/>
                <c:pt idx="0">
                  <c:v>UC 203x203x46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UC!$D$6:$D$20</c:f>
              <c:numCache>
                <c:formatCode>General</c:formatCode>
                <c:ptCount val="14"/>
                <c:pt idx="1">
                  <c:v>3.5220000000000001E-2</c:v>
                </c:pt>
                <c:pt idx="2">
                  <c:v>9.3920000000000003E-2</c:v>
                </c:pt>
                <c:pt idx="3">
                  <c:v>0.17610000000000003</c:v>
                </c:pt>
                <c:pt idx="7">
                  <c:v>0.32872000000000007</c:v>
                </c:pt>
                <c:pt idx="9">
                  <c:v>5.2830000000000002E-2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E-4EC8-9C3A-51D6AB73C3E7}"/>
            </c:ext>
          </c:extLst>
        </c:ser>
        <c:ser>
          <c:idx val="3"/>
          <c:order val="3"/>
          <c:tx>
            <c:strRef>
              <c:f>UC!$E$4:$E$5</c:f>
              <c:strCache>
                <c:ptCount val="1"/>
                <c:pt idx="0">
                  <c:v>UC 305x305x198</c:v>
                </c:pt>
              </c:strCache>
            </c:strRef>
          </c:tx>
          <c:spPr>
            <a:solidFill>
              <a:schemeClr val="accent1">
                <a:tint val="5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UC!$E$6:$E$20</c:f>
              <c:numCache>
                <c:formatCode>General</c:formatCode>
                <c:ptCount val="14"/>
                <c:pt idx="7">
                  <c:v>2.2932000000000006</c:v>
                </c:pt>
                <c:pt idx="8">
                  <c:v>2.016</c:v>
                </c:pt>
                <c:pt idx="9">
                  <c:v>1.5875999999999997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E-4EC8-9C3A-51D6AB73C3E7}"/>
            </c:ext>
          </c:extLst>
        </c:ser>
        <c:ser>
          <c:idx val="4"/>
          <c:order val="4"/>
          <c:tx>
            <c:strRef>
              <c:f>UC!$F$4:$F$5</c:f>
              <c:strCache>
                <c:ptCount val="1"/>
                <c:pt idx="0">
                  <c:v>UC 254x254x107</c:v>
                </c:pt>
              </c:strCache>
            </c:strRef>
          </c:tx>
          <c:spPr>
            <a:solidFill>
              <a:schemeClr val="accent1">
                <a:tint val="6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UC!$F$6:$F$20</c:f>
              <c:numCache>
                <c:formatCode>General</c:formatCode>
                <c:ptCount val="14"/>
                <c:pt idx="2">
                  <c:v>2.7199999999999998E-2</c:v>
                </c:pt>
                <c:pt idx="5">
                  <c:v>0.27199999999999996</c:v>
                </c:pt>
                <c:pt idx="6">
                  <c:v>0.81599999999999995</c:v>
                </c:pt>
                <c:pt idx="7">
                  <c:v>0.76159999999999983</c:v>
                </c:pt>
                <c:pt idx="8">
                  <c:v>0.76159999999999994</c:v>
                </c:pt>
                <c:pt idx="9">
                  <c:v>0.73439999999999994</c:v>
                </c:pt>
                <c:pt idx="10">
                  <c:v>0.27199999999999996</c:v>
                </c:pt>
                <c:pt idx="11">
                  <c:v>0.44879999999999998</c:v>
                </c:pt>
                <c:pt idx="12">
                  <c:v>3.2639999999999985</c:v>
                </c:pt>
                <c:pt idx="13">
                  <c:v>0.53039999999999998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E-4EC8-9C3A-51D6AB73C3E7}"/>
            </c:ext>
          </c:extLst>
        </c:ser>
        <c:ser>
          <c:idx val="5"/>
          <c:order val="5"/>
          <c:tx>
            <c:strRef>
              <c:f>UC!$G$4:$G$5</c:f>
              <c:strCache>
                <c:ptCount val="1"/>
                <c:pt idx="0">
                  <c:v>UC 305x305x240</c:v>
                </c:pt>
              </c:strCache>
            </c:strRef>
          </c:tx>
          <c:spPr>
            <a:solidFill>
              <a:schemeClr val="accent1">
                <a:tint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UC!$G$6:$G$20</c:f>
              <c:numCache>
                <c:formatCode>General</c:formatCode>
                <c:ptCount val="14"/>
                <c:pt idx="7">
                  <c:v>2.5703999999999998</c:v>
                </c:pt>
                <c:pt idx="8">
                  <c:v>2.6928000000000001</c:v>
                </c:pt>
                <c:pt idx="9">
                  <c:v>1.1015999999999999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4E-4EC8-9C3A-51D6AB73C3E7}"/>
            </c:ext>
          </c:extLst>
        </c:ser>
        <c:ser>
          <c:idx val="6"/>
          <c:order val="6"/>
          <c:tx>
            <c:strRef>
              <c:f>UC!$H$4:$H$5</c:f>
              <c:strCache>
                <c:ptCount val="1"/>
                <c:pt idx="0">
                  <c:v>UC 305x305x158</c:v>
                </c:pt>
              </c:strCache>
            </c:strRef>
          </c:tx>
          <c:spPr>
            <a:solidFill>
              <a:schemeClr val="accent1">
                <a:tint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UC!$H$6:$H$20</c:f>
              <c:numCache>
                <c:formatCode>General</c:formatCode>
                <c:ptCount val="14"/>
                <c:pt idx="6">
                  <c:v>0.1206</c:v>
                </c:pt>
                <c:pt idx="7">
                  <c:v>0.84420000000000006</c:v>
                </c:pt>
                <c:pt idx="8">
                  <c:v>0.9648000000000001</c:v>
                </c:pt>
                <c:pt idx="9">
                  <c:v>0.54269999999999996</c:v>
                </c:pt>
                <c:pt idx="11">
                  <c:v>0.22109999999999999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4E-4EC8-9C3A-51D6AB73C3E7}"/>
            </c:ext>
          </c:extLst>
        </c:ser>
        <c:ser>
          <c:idx val="7"/>
          <c:order val="7"/>
          <c:tx>
            <c:strRef>
              <c:f>UC!$I$4:$I$5</c:f>
              <c:strCache>
                <c:ptCount val="1"/>
                <c:pt idx="0">
                  <c:v>UC 305x305x118</c:v>
                </c:pt>
              </c:strCache>
            </c:strRef>
          </c:tx>
          <c:spPr>
            <a:solidFill>
              <a:schemeClr val="accent1">
                <a:tint val="8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UC!$I$6:$I$20</c:f>
              <c:numCache>
                <c:formatCode>General</c:formatCode>
                <c:ptCount val="14"/>
                <c:pt idx="0">
                  <c:v>0</c:v>
                </c:pt>
                <c:pt idx="2">
                  <c:v>0.12</c:v>
                </c:pt>
                <c:pt idx="7">
                  <c:v>0.42</c:v>
                </c:pt>
                <c:pt idx="8">
                  <c:v>1.2000000000000002</c:v>
                </c:pt>
                <c:pt idx="9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4E-4EC8-9C3A-51D6AB73C3E7}"/>
            </c:ext>
          </c:extLst>
        </c:ser>
        <c:ser>
          <c:idx val="8"/>
          <c:order val="8"/>
          <c:tx>
            <c:strRef>
              <c:f>UC!$J$4:$J$5</c:f>
              <c:strCache>
                <c:ptCount val="1"/>
                <c:pt idx="0">
                  <c:v>UC 305x305x97</c:v>
                </c:pt>
              </c:strCache>
            </c:strRef>
          </c:tx>
          <c:spPr>
            <a:solidFill>
              <a:schemeClr val="accent1">
                <a:tint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UC!$J$6:$J$20</c:f>
              <c:numCache>
                <c:formatCode>General</c:formatCode>
                <c:ptCount val="14"/>
                <c:pt idx="5">
                  <c:v>0.246</c:v>
                </c:pt>
                <c:pt idx="7">
                  <c:v>1.2053999999999998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4E-4EC8-9C3A-51D6AB73C3E7}"/>
            </c:ext>
          </c:extLst>
        </c:ser>
        <c:ser>
          <c:idx val="9"/>
          <c:order val="9"/>
          <c:tx>
            <c:strRef>
              <c:f>UC!$K$4:$K$5</c:f>
              <c:strCache>
                <c:ptCount val="1"/>
                <c:pt idx="0">
                  <c:v>UC 305x305x137</c:v>
                </c:pt>
              </c:strCache>
            </c:strRef>
          </c:tx>
          <c:spPr>
            <a:solidFill>
              <a:schemeClr val="accent1">
                <a:tint val="9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UC!$K$6:$K$20</c:f>
              <c:numCache>
                <c:formatCode>General</c:formatCode>
                <c:ptCount val="14"/>
                <c:pt idx="0">
                  <c:v>0</c:v>
                </c:pt>
                <c:pt idx="2">
                  <c:v>0.13919999999999999</c:v>
                </c:pt>
                <c:pt idx="6">
                  <c:v>0.10439999999999999</c:v>
                </c:pt>
                <c:pt idx="7">
                  <c:v>1.5833999999999997</c:v>
                </c:pt>
                <c:pt idx="8">
                  <c:v>1.1135999999999999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4E-4EC8-9C3A-51D6AB73C3E7}"/>
            </c:ext>
          </c:extLst>
        </c:ser>
        <c:ser>
          <c:idx val="10"/>
          <c:order val="10"/>
          <c:tx>
            <c:strRef>
              <c:f>UC!$L$4:$L$5</c:f>
              <c:strCache>
                <c:ptCount val="1"/>
                <c:pt idx="0">
                  <c:v>UC 254x254x89</c:v>
                </c:pt>
              </c:strCache>
            </c:strRef>
          </c:tx>
          <c:spPr>
            <a:solidFill>
              <a:schemeClr val="accent1">
                <a:shade val="9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UC!$L$6:$L$20</c:f>
              <c:numCache>
                <c:formatCode>General</c:formatCode>
                <c:ptCount val="14"/>
                <c:pt idx="1">
                  <c:v>2.2599999999999999E-2</c:v>
                </c:pt>
                <c:pt idx="3">
                  <c:v>0.27119999999999994</c:v>
                </c:pt>
                <c:pt idx="4">
                  <c:v>4.5199999999999997E-2</c:v>
                </c:pt>
                <c:pt idx="6">
                  <c:v>0.2712</c:v>
                </c:pt>
                <c:pt idx="7">
                  <c:v>0.63279999999999992</c:v>
                </c:pt>
                <c:pt idx="8">
                  <c:v>0.18079999999999999</c:v>
                </c:pt>
                <c:pt idx="9">
                  <c:v>0.40679999999999999</c:v>
                </c:pt>
                <c:pt idx="12">
                  <c:v>0.1356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4E-4EC8-9C3A-51D6AB73C3E7}"/>
            </c:ext>
          </c:extLst>
        </c:ser>
        <c:ser>
          <c:idx val="11"/>
          <c:order val="11"/>
          <c:tx>
            <c:strRef>
              <c:f>UC!$M$4:$M$5</c:f>
              <c:strCache>
                <c:ptCount val="1"/>
                <c:pt idx="0">
                  <c:v>UC 203x203x86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UC!$M$6:$M$20</c:f>
              <c:numCache>
                <c:formatCode>General</c:formatCode>
                <c:ptCount val="14"/>
                <c:pt idx="0">
                  <c:v>0</c:v>
                </c:pt>
                <c:pt idx="1">
                  <c:v>3.3000000000000002E-2</c:v>
                </c:pt>
                <c:pt idx="2">
                  <c:v>0.10999999999999999</c:v>
                </c:pt>
                <c:pt idx="3">
                  <c:v>0.13200000000000001</c:v>
                </c:pt>
                <c:pt idx="4">
                  <c:v>4.3999999999999997E-2</c:v>
                </c:pt>
                <c:pt idx="6">
                  <c:v>6.6000000000000003E-2</c:v>
                </c:pt>
                <c:pt idx="8">
                  <c:v>0.17599999999999999</c:v>
                </c:pt>
                <c:pt idx="9">
                  <c:v>0.39599999999999996</c:v>
                </c:pt>
                <c:pt idx="10">
                  <c:v>0.54999999999999993</c:v>
                </c:pt>
                <c:pt idx="11">
                  <c:v>0.24199999999999999</c:v>
                </c:pt>
                <c:pt idx="12">
                  <c:v>1.056</c:v>
                </c:pt>
                <c:pt idx="13">
                  <c:v>0.28599999999999998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4E-4EC8-9C3A-51D6AB73C3E7}"/>
            </c:ext>
          </c:extLst>
        </c:ser>
        <c:ser>
          <c:idx val="12"/>
          <c:order val="12"/>
          <c:tx>
            <c:strRef>
              <c:f>UC!$N$4:$N$5</c:f>
              <c:strCache>
                <c:ptCount val="1"/>
                <c:pt idx="0">
                  <c:v>UC 254x254x167</c:v>
                </c:pt>
              </c:strCache>
            </c:strRef>
          </c:tx>
          <c:spPr>
            <a:solidFill>
              <a:schemeClr val="accent1">
                <a:shade val="8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UC!$N$6:$N$20</c:f>
              <c:numCache>
                <c:formatCode>General</c:formatCode>
                <c:ptCount val="14"/>
                <c:pt idx="7">
                  <c:v>0.44730000000000003</c:v>
                </c:pt>
                <c:pt idx="8">
                  <c:v>3.0671999999999988</c:v>
                </c:pt>
                <c:pt idx="9">
                  <c:v>0.76679999999999993</c:v>
                </c:pt>
                <c:pt idx="12">
                  <c:v>0.25559999999999999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4E-4EC8-9C3A-51D6AB73C3E7}"/>
            </c:ext>
          </c:extLst>
        </c:ser>
        <c:ser>
          <c:idx val="13"/>
          <c:order val="13"/>
          <c:tx>
            <c:strRef>
              <c:f>UC!$O$4:$O$5</c:f>
              <c:strCache>
                <c:ptCount val="1"/>
                <c:pt idx="0">
                  <c:v>UC 254x254x132</c:v>
                </c:pt>
              </c:strCache>
            </c:strRef>
          </c:tx>
          <c:spPr>
            <a:solidFill>
              <a:schemeClr val="accent1">
                <a:shade val="7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UC!$O$6:$O$20</c:f>
              <c:numCache>
                <c:formatCode>General</c:formatCode>
                <c:ptCount val="14"/>
                <c:pt idx="3">
                  <c:v>5.04E-2</c:v>
                </c:pt>
                <c:pt idx="6">
                  <c:v>0.1008</c:v>
                </c:pt>
                <c:pt idx="7">
                  <c:v>1.1759999999999999</c:v>
                </c:pt>
                <c:pt idx="8">
                  <c:v>0.94079999999999986</c:v>
                </c:pt>
                <c:pt idx="9">
                  <c:v>0.6048</c:v>
                </c:pt>
                <c:pt idx="11">
                  <c:v>0.18479999999999999</c:v>
                </c:pt>
                <c:pt idx="12">
                  <c:v>0.2016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C4E-4EC8-9C3A-51D6AB73C3E7}"/>
            </c:ext>
          </c:extLst>
        </c:ser>
        <c:ser>
          <c:idx val="14"/>
          <c:order val="14"/>
          <c:tx>
            <c:strRef>
              <c:f>UC!$P$4:$P$5</c:f>
              <c:strCache>
                <c:ptCount val="1"/>
                <c:pt idx="0">
                  <c:v>UC 203x203x52</c:v>
                </c:pt>
              </c:strCache>
            </c:strRef>
          </c:tx>
          <c:spPr>
            <a:solidFill>
              <a:schemeClr val="accent1">
                <a:shade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UC!$P$6:$P$20</c:f>
              <c:numCache>
                <c:formatCode>General</c:formatCode>
                <c:ptCount val="14"/>
                <c:pt idx="0">
                  <c:v>0</c:v>
                </c:pt>
                <c:pt idx="1">
                  <c:v>5.8700000000000002E-3</c:v>
                </c:pt>
                <c:pt idx="2">
                  <c:v>1.174E-2</c:v>
                </c:pt>
                <c:pt idx="3">
                  <c:v>0.29937000000000014</c:v>
                </c:pt>
                <c:pt idx="4">
                  <c:v>0.18784000000000001</c:v>
                </c:pt>
                <c:pt idx="5">
                  <c:v>2.9350000000000001E-2</c:v>
                </c:pt>
                <c:pt idx="8">
                  <c:v>4.6960000000000002E-2</c:v>
                </c:pt>
                <c:pt idx="11">
                  <c:v>6.4570000000000002E-2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4-46E1-9E15-9872F9E6E84B}"/>
            </c:ext>
          </c:extLst>
        </c:ser>
        <c:ser>
          <c:idx val="15"/>
          <c:order val="15"/>
          <c:tx>
            <c:strRef>
              <c:f>UC!$Q$4:$Q$5</c:f>
              <c:strCache>
                <c:ptCount val="1"/>
                <c:pt idx="0">
                  <c:v>UC 356x406x551</c:v>
                </c:pt>
              </c:strCache>
            </c:strRef>
          </c:tx>
          <c:spPr>
            <a:solidFill>
              <a:schemeClr val="accent1">
                <a:shade val="6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UC!$Q$6:$Q$20</c:f>
              <c:numCache>
                <c:formatCode>General</c:formatCode>
                <c:ptCount val="14"/>
                <c:pt idx="5">
                  <c:v>0.35099999999999998</c:v>
                </c:pt>
                <c:pt idx="6">
                  <c:v>6.3179999999999978</c:v>
                </c:pt>
                <c:pt idx="7">
                  <c:v>5.8967999999999989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24-46E1-9E15-9872F9E6E84B}"/>
            </c:ext>
          </c:extLst>
        </c:ser>
        <c:ser>
          <c:idx val="16"/>
          <c:order val="16"/>
          <c:tx>
            <c:strRef>
              <c:f>UC!$R$4:$R$5</c:f>
              <c:strCache>
                <c:ptCount val="1"/>
                <c:pt idx="0">
                  <c:v>UC 203x203x71</c:v>
                </c:pt>
              </c:strCache>
            </c:strRef>
          </c:tx>
          <c:spPr>
            <a:solidFill>
              <a:schemeClr val="accent1">
                <a:shade val="5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UC!$R$6:$R$20</c:f>
              <c:numCache>
                <c:formatCode>General</c:formatCode>
                <c:ptCount val="14"/>
                <c:pt idx="2">
                  <c:v>0.79551999999999945</c:v>
                </c:pt>
                <c:pt idx="3">
                  <c:v>0.2712</c:v>
                </c:pt>
                <c:pt idx="4">
                  <c:v>0.83167999999999953</c:v>
                </c:pt>
                <c:pt idx="6">
                  <c:v>0.10847999999999999</c:v>
                </c:pt>
                <c:pt idx="7">
                  <c:v>1.2023200000000001</c:v>
                </c:pt>
                <c:pt idx="11">
                  <c:v>0.89495999999999987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24-46E1-9E15-9872F9E6E84B}"/>
            </c:ext>
          </c:extLst>
        </c:ser>
        <c:ser>
          <c:idx val="17"/>
          <c:order val="17"/>
          <c:tx>
            <c:strRef>
              <c:f>UC!$S$4:$S$5</c:f>
              <c:strCache>
                <c:ptCount val="1"/>
                <c:pt idx="0">
                  <c:v>UC 254x254x73</c:v>
                </c:pt>
              </c:strCache>
            </c:strRef>
          </c:tx>
          <c:spPr>
            <a:solidFill>
              <a:schemeClr val="accent1">
                <a:shade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UC!$S$6:$S$20</c:f>
              <c:numCache>
                <c:formatCode>General</c:formatCode>
                <c:ptCount val="14"/>
                <c:pt idx="2">
                  <c:v>1.8620000000000001E-2</c:v>
                </c:pt>
                <c:pt idx="3">
                  <c:v>8.3790000000000003E-2</c:v>
                </c:pt>
                <c:pt idx="6">
                  <c:v>0.33516000000000007</c:v>
                </c:pt>
                <c:pt idx="8">
                  <c:v>7.4480000000000005E-2</c:v>
                </c:pt>
                <c:pt idx="9">
                  <c:v>8.3790000000000003E-2</c:v>
                </c:pt>
                <c:pt idx="11">
                  <c:v>0.51205000000000001</c:v>
                </c:pt>
                <c:pt idx="12">
                  <c:v>0.11172000000000001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24-46E1-9E15-9872F9E6E84B}"/>
            </c:ext>
          </c:extLst>
        </c:ser>
        <c:ser>
          <c:idx val="18"/>
          <c:order val="18"/>
          <c:tx>
            <c:strRef>
              <c:f>UC!$T$4:$T$5</c:f>
              <c:strCache>
                <c:ptCount val="1"/>
                <c:pt idx="0">
                  <c:v>UC 152x152x23</c:v>
                </c:pt>
              </c:strCache>
            </c:strRef>
          </c:tx>
          <c:spPr>
            <a:solidFill>
              <a:schemeClr val="accent1">
                <a:shade val="4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UC!$T$6:$T$20</c:f>
              <c:numCache>
                <c:formatCode>General</c:formatCode>
                <c:ptCount val="14"/>
                <c:pt idx="0">
                  <c:v>0</c:v>
                </c:pt>
                <c:pt idx="1">
                  <c:v>3.2119999999999996E-2</c:v>
                </c:pt>
                <c:pt idx="2">
                  <c:v>1.1679999999999999E-2</c:v>
                </c:pt>
                <c:pt idx="3">
                  <c:v>5.2560000000000009E-2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24-46E1-9E15-9872F9E6E84B}"/>
            </c:ext>
          </c:extLst>
        </c:ser>
        <c:ser>
          <c:idx val="19"/>
          <c:order val="19"/>
          <c:tx>
            <c:strRef>
              <c:f>UC!$U$4:$U$5</c:f>
              <c:strCache>
                <c:ptCount val="1"/>
                <c:pt idx="0">
                  <c:v>UC 152x152x30</c:v>
                </c:pt>
              </c:strCache>
            </c:strRef>
          </c:tx>
          <c:spPr>
            <a:solidFill>
              <a:schemeClr val="accent1">
                <a:shade val="3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UC!$U$6:$U$20</c:f>
              <c:numCache>
                <c:formatCode>General</c:formatCode>
                <c:ptCount val="14"/>
                <c:pt idx="3">
                  <c:v>3.4470000000000001E-2</c:v>
                </c:pt>
                <c:pt idx="4">
                  <c:v>0.1532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24-46E1-9E15-9872F9E6E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808276465441818"/>
          <c:y val="4.2269330400910604E-2"/>
          <c:w val="0.19052100194338181"/>
          <c:h val="0.7379008413451141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[Database_Graphs.xlsm]UB!PivotTable5</c:name>
    <c:fmtId val="4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UB!$B$4:$B$5</c:f>
              <c:strCache>
                <c:ptCount val="1"/>
                <c:pt idx="0">
                  <c:v>UB 406x178x74</c:v>
                </c:pt>
              </c:strCache>
            </c:strRef>
          </c:tx>
          <c:spPr>
            <a:solidFill>
              <a:schemeClr val="accent1">
                <a:tint val="3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UB!$B$6:$B$18</c:f>
              <c:numCache>
                <c:formatCode>General</c:formatCode>
                <c:ptCount val="12"/>
                <c:pt idx="3">
                  <c:v>0.1134</c:v>
                </c:pt>
                <c:pt idx="4">
                  <c:v>0.1134</c:v>
                </c:pt>
                <c:pt idx="5">
                  <c:v>4.725E-2</c:v>
                </c:pt>
                <c:pt idx="6">
                  <c:v>0.2268</c:v>
                </c:pt>
                <c:pt idx="7">
                  <c:v>1.8521999999999994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D73-B313-404B62C8E707}"/>
            </c:ext>
          </c:extLst>
        </c:ser>
        <c:ser>
          <c:idx val="1"/>
          <c:order val="1"/>
          <c:tx>
            <c:strRef>
              <c:f>UB!$C$4:$C$5</c:f>
              <c:strCache>
                <c:ptCount val="1"/>
                <c:pt idx="0">
                  <c:v>UB 305x127x48</c:v>
                </c:pt>
              </c:strCache>
            </c:strRef>
          </c:tx>
          <c:spPr>
            <a:solidFill>
              <a:schemeClr val="accent1">
                <a:tint val="3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UB!$C$6:$C$18</c:f>
              <c:numCache>
                <c:formatCode>General</c:formatCode>
                <c:ptCount val="12"/>
                <c:pt idx="2">
                  <c:v>1.2239999999999999E-2</c:v>
                </c:pt>
                <c:pt idx="3">
                  <c:v>7.3439999999999991E-2</c:v>
                </c:pt>
                <c:pt idx="7">
                  <c:v>1.02816</c:v>
                </c:pt>
                <c:pt idx="8">
                  <c:v>4.8959999999999997E-2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D73-B313-404B62C8E707}"/>
            </c:ext>
          </c:extLst>
        </c:ser>
        <c:ser>
          <c:idx val="2"/>
          <c:order val="2"/>
          <c:tx>
            <c:strRef>
              <c:f>UB!$D$4:$D$5</c:f>
              <c:strCache>
                <c:ptCount val="1"/>
                <c:pt idx="0">
                  <c:v>UB 254x146x31</c:v>
                </c:pt>
              </c:strCache>
            </c:strRef>
          </c:tx>
          <c:spPr>
            <a:solidFill>
              <a:schemeClr val="accent1">
                <a:tint val="4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UB!$D$6:$D$18</c:f>
              <c:numCache>
                <c:formatCode>General</c:formatCode>
                <c:ptCount val="12"/>
                <c:pt idx="0">
                  <c:v>0</c:v>
                </c:pt>
                <c:pt idx="1">
                  <c:v>3.5730000000000005E-2</c:v>
                </c:pt>
                <c:pt idx="2">
                  <c:v>3.9699999999999999E-2</c:v>
                </c:pt>
                <c:pt idx="3">
                  <c:v>0.20247000000000004</c:v>
                </c:pt>
                <c:pt idx="4">
                  <c:v>7.9399999999999998E-2</c:v>
                </c:pt>
                <c:pt idx="5">
                  <c:v>0.23820000000000005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D73-B313-404B62C8E707}"/>
            </c:ext>
          </c:extLst>
        </c:ser>
        <c:ser>
          <c:idx val="3"/>
          <c:order val="3"/>
          <c:tx>
            <c:strRef>
              <c:f>UB!$E$4:$E$5</c:f>
              <c:strCache>
                <c:ptCount val="1"/>
                <c:pt idx="0">
                  <c:v>UB 203x133x25</c:v>
                </c:pt>
              </c:strCache>
            </c:strRef>
          </c:tx>
          <c:spPr>
            <a:solidFill>
              <a:schemeClr val="accent1">
                <a:tint val="4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UB!$E$6:$E$18</c:f>
              <c:numCache>
                <c:formatCode>General</c:formatCode>
                <c:ptCount val="12"/>
                <c:pt idx="0">
                  <c:v>0</c:v>
                </c:pt>
                <c:pt idx="1">
                  <c:v>1.9200000000000002E-2</c:v>
                </c:pt>
                <c:pt idx="2">
                  <c:v>1.2800000000000001E-2</c:v>
                </c:pt>
                <c:pt idx="3">
                  <c:v>1.9200000000000002E-2</c:v>
                </c:pt>
                <c:pt idx="4">
                  <c:v>8.9600000000000013E-2</c:v>
                </c:pt>
                <c:pt idx="5">
                  <c:v>1.6E-2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D73-B313-404B62C8E707}"/>
            </c:ext>
          </c:extLst>
        </c:ser>
        <c:ser>
          <c:idx val="4"/>
          <c:order val="4"/>
          <c:tx>
            <c:strRef>
              <c:f>UB!$F$4:$F$5</c:f>
              <c:strCache>
                <c:ptCount val="1"/>
                <c:pt idx="0">
                  <c:v>UB 305x165x54</c:v>
                </c:pt>
              </c:strCache>
            </c:strRef>
          </c:tx>
          <c:spPr>
            <a:solidFill>
              <a:schemeClr val="accent1">
                <a:tint val="4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UB!$F$6:$F$18</c:f>
              <c:numCache>
                <c:formatCode>General</c:formatCode>
                <c:ptCount val="12"/>
                <c:pt idx="1">
                  <c:v>2.0639999999999999E-2</c:v>
                </c:pt>
                <c:pt idx="2">
                  <c:v>1.376E-2</c:v>
                </c:pt>
                <c:pt idx="3">
                  <c:v>0.16511999999999996</c:v>
                </c:pt>
                <c:pt idx="4">
                  <c:v>8.2559999999999995E-2</c:v>
                </c:pt>
                <c:pt idx="5">
                  <c:v>3.44E-2</c:v>
                </c:pt>
                <c:pt idx="6">
                  <c:v>4.1279999999999997E-2</c:v>
                </c:pt>
                <c:pt idx="7">
                  <c:v>4.8160000000000001E-2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D73-B313-404B62C8E707}"/>
            </c:ext>
          </c:extLst>
        </c:ser>
        <c:ser>
          <c:idx val="5"/>
          <c:order val="5"/>
          <c:tx>
            <c:strRef>
              <c:f>UB!$G$4:$G$5</c:f>
              <c:strCache>
                <c:ptCount val="1"/>
                <c:pt idx="0">
                  <c:v>UB 254x146x43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UB!$G$6:$G$18</c:f>
              <c:numCache>
                <c:formatCode>General</c:formatCode>
                <c:ptCount val="12"/>
                <c:pt idx="1">
                  <c:v>5.4799999999999996E-3</c:v>
                </c:pt>
                <c:pt idx="2">
                  <c:v>2.1919999999999999E-2</c:v>
                </c:pt>
                <c:pt idx="3">
                  <c:v>1.644E-2</c:v>
                </c:pt>
                <c:pt idx="4">
                  <c:v>8.7679999999999994E-2</c:v>
                </c:pt>
                <c:pt idx="5">
                  <c:v>5.4799999999999995E-2</c:v>
                </c:pt>
                <c:pt idx="7">
                  <c:v>7.6719999999999997E-2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D73-B313-404B62C8E707}"/>
            </c:ext>
          </c:extLst>
        </c:ser>
        <c:ser>
          <c:idx val="6"/>
          <c:order val="6"/>
          <c:tx>
            <c:strRef>
              <c:f>UB!$H$4:$H$5</c:f>
              <c:strCache>
                <c:ptCount val="1"/>
                <c:pt idx="0">
                  <c:v>UB 457x191x98</c:v>
                </c:pt>
              </c:strCache>
            </c:strRef>
          </c:tx>
          <c:spPr>
            <a:solidFill>
              <a:schemeClr val="accent1">
                <a:tint val="5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UB!$H$6:$H$18</c:f>
              <c:numCache>
                <c:formatCode>General</c:formatCode>
                <c:ptCount val="12"/>
                <c:pt idx="2">
                  <c:v>0.15</c:v>
                </c:pt>
                <c:pt idx="4">
                  <c:v>0.05</c:v>
                </c:pt>
                <c:pt idx="5">
                  <c:v>6.25E-2</c:v>
                </c:pt>
                <c:pt idx="6">
                  <c:v>7.5000000000000011E-2</c:v>
                </c:pt>
                <c:pt idx="7">
                  <c:v>0.26250000000000001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D73-B313-404B62C8E707}"/>
            </c:ext>
          </c:extLst>
        </c:ser>
        <c:ser>
          <c:idx val="7"/>
          <c:order val="7"/>
          <c:tx>
            <c:strRef>
              <c:f>UB!$I$4:$I$5</c:f>
              <c:strCache>
                <c:ptCount val="1"/>
                <c:pt idx="0">
                  <c:v>UB 305x127x42</c:v>
                </c:pt>
              </c:strCache>
            </c:strRef>
          </c:tx>
          <c:spPr>
            <a:solidFill>
              <a:schemeClr val="accent1">
                <a:tint val="5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UB!$I$6:$I$18</c:f>
              <c:numCache>
                <c:formatCode>General</c:formatCode>
                <c:ptCount val="12"/>
                <c:pt idx="1">
                  <c:v>1.068E-2</c:v>
                </c:pt>
                <c:pt idx="2">
                  <c:v>1.068E-2</c:v>
                </c:pt>
                <c:pt idx="3">
                  <c:v>0.12816000000000002</c:v>
                </c:pt>
                <c:pt idx="6">
                  <c:v>6.4079999999999998E-2</c:v>
                </c:pt>
                <c:pt idx="7">
                  <c:v>7.4760000000000007E-2</c:v>
                </c:pt>
                <c:pt idx="8">
                  <c:v>0.12816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F-4D73-B313-404B62C8E707}"/>
            </c:ext>
          </c:extLst>
        </c:ser>
        <c:ser>
          <c:idx val="8"/>
          <c:order val="8"/>
          <c:tx>
            <c:strRef>
              <c:f>UB!$J$4:$J$5</c:f>
              <c:strCache>
                <c:ptCount val="1"/>
                <c:pt idx="0">
                  <c:v>UB 356x171x57</c:v>
                </c:pt>
              </c:strCache>
            </c:strRef>
          </c:tx>
          <c:spPr>
            <a:solidFill>
              <a:schemeClr val="accent1">
                <a:tint val="5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UB!$J$6:$J$18</c:f>
              <c:numCache>
                <c:formatCode>General</c:formatCode>
                <c:ptCount val="12"/>
                <c:pt idx="0">
                  <c:v>0</c:v>
                </c:pt>
                <c:pt idx="2">
                  <c:v>1.452E-2</c:v>
                </c:pt>
                <c:pt idx="3">
                  <c:v>6.5340000000000009E-2</c:v>
                </c:pt>
                <c:pt idx="4">
                  <c:v>0.1452</c:v>
                </c:pt>
                <c:pt idx="5">
                  <c:v>3.6299999999999999E-2</c:v>
                </c:pt>
                <c:pt idx="6">
                  <c:v>8.7120000000000003E-2</c:v>
                </c:pt>
                <c:pt idx="7">
                  <c:v>2.0328000000000013</c:v>
                </c:pt>
                <c:pt idx="8">
                  <c:v>0.11616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F-4D73-B313-404B62C8E707}"/>
            </c:ext>
          </c:extLst>
        </c:ser>
        <c:ser>
          <c:idx val="9"/>
          <c:order val="9"/>
          <c:tx>
            <c:strRef>
              <c:f>UB!$K$4:$K$5</c:f>
              <c:strCache>
                <c:ptCount val="1"/>
                <c:pt idx="0">
                  <c:v>UB 305x165x46</c:v>
                </c:pt>
              </c:strCache>
            </c:strRef>
          </c:tx>
          <c:spPr>
            <a:solidFill>
              <a:schemeClr val="accent1">
                <a:tint val="6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UB!$K$6:$K$18</c:f>
              <c:numCache>
                <c:formatCode>General</c:formatCode>
                <c:ptCount val="12"/>
                <c:pt idx="2">
                  <c:v>3.5220000000000001E-2</c:v>
                </c:pt>
                <c:pt idx="3">
                  <c:v>3.5220000000000001E-2</c:v>
                </c:pt>
                <c:pt idx="4">
                  <c:v>7.0440000000000003E-2</c:v>
                </c:pt>
                <c:pt idx="7">
                  <c:v>1.0272499999999998</c:v>
                </c:pt>
                <c:pt idx="8">
                  <c:v>0.51656000000000002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AF-4D73-B313-404B62C8E707}"/>
            </c:ext>
          </c:extLst>
        </c:ser>
        <c:ser>
          <c:idx val="10"/>
          <c:order val="10"/>
          <c:tx>
            <c:strRef>
              <c:f>UB!$L$4:$L$5</c:f>
              <c:strCache>
                <c:ptCount val="1"/>
                <c:pt idx="0">
                  <c:v>UB 356x171x67</c:v>
                </c:pt>
              </c:strCache>
            </c:strRef>
          </c:tx>
          <c:spPr>
            <a:solidFill>
              <a:schemeClr val="accent1">
                <a:tint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UB!$L$6:$L$18</c:f>
              <c:numCache>
                <c:formatCode>General</c:formatCode>
                <c:ptCount val="12"/>
                <c:pt idx="1">
                  <c:v>1.7100000000000001E-2</c:v>
                </c:pt>
                <c:pt idx="2">
                  <c:v>3.4200000000000001E-2</c:v>
                </c:pt>
                <c:pt idx="3">
                  <c:v>0.12825</c:v>
                </c:pt>
                <c:pt idx="6">
                  <c:v>5.1299999999999998E-2</c:v>
                </c:pt>
                <c:pt idx="7">
                  <c:v>0.71819999999999995</c:v>
                </c:pt>
                <c:pt idx="8">
                  <c:v>0.1368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AF-4D73-B313-404B62C8E707}"/>
            </c:ext>
          </c:extLst>
        </c:ser>
        <c:ser>
          <c:idx val="11"/>
          <c:order val="11"/>
          <c:tx>
            <c:strRef>
              <c:f>UB!$M$4:$M$5</c:f>
              <c:strCache>
                <c:ptCount val="1"/>
                <c:pt idx="0">
                  <c:v>UB 356x127x39</c:v>
                </c:pt>
              </c:strCache>
            </c:strRef>
          </c:tx>
          <c:spPr>
            <a:solidFill>
              <a:schemeClr val="accent1">
                <a:tint val="6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UB!$M$6:$M$18</c:f>
              <c:numCache>
                <c:formatCode>General</c:formatCode>
                <c:ptCount val="12"/>
                <c:pt idx="0">
                  <c:v>0</c:v>
                </c:pt>
                <c:pt idx="1">
                  <c:v>8.9639999999999984E-2</c:v>
                </c:pt>
                <c:pt idx="2">
                  <c:v>0.26891999999999999</c:v>
                </c:pt>
                <c:pt idx="3">
                  <c:v>0.47808000000000017</c:v>
                </c:pt>
                <c:pt idx="4">
                  <c:v>0.61752000000000018</c:v>
                </c:pt>
                <c:pt idx="5">
                  <c:v>0.1245</c:v>
                </c:pt>
                <c:pt idx="6">
                  <c:v>0.80676000000000025</c:v>
                </c:pt>
                <c:pt idx="7">
                  <c:v>6.6931200000000182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AF-4D73-B313-404B62C8E707}"/>
            </c:ext>
          </c:extLst>
        </c:ser>
        <c:ser>
          <c:idx val="12"/>
          <c:order val="12"/>
          <c:tx>
            <c:strRef>
              <c:f>UB!$N$4:$N$5</c:f>
              <c:strCache>
                <c:ptCount val="1"/>
                <c:pt idx="0">
                  <c:v>UB 533x210x122</c:v>
                </c:pt>
              </c:strCache>
            </c:strRef>
          </c:tx>
          <c:spPr>
            <a:solidFill>
              <a:schemeClr val="accent1">
                <a:tint val="7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UB!$N$6:$N$18</c:f>
              <c:numCache>
                <c:formatCode>General</c:formatCode>
                <c:ptCount val="12"/>
                <c:pt idx="2">
                  <c:v>0.124</c:v>
                </c:pt>
                <c:pt idx="3">
                  <c:v>0.32549999999999996</c:v>
                </c:pt>
                <c:pt idx="4">
                  <c:v>0.372</c:v>
                </c:pt>
                <c:pt idx="5">
                  <c:v>1.1624999999999999</c:v>
                </c:pt>
                <c:pt idx="6">
                  <c:v>1.2089999999999999</c:v>
                </c:pt>
                <c:pt idx="7">
                  <c:v>4.2314999999999978</c:v>
                </c:pt>
                <c:pt idx="8">
                  <c:v>0.248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AF-4D73-B313-404B62C8E707}"/>
            </c:ext>
          </c:extLst>
        </c:ser>
        <c:ser>
          <c:idx val="13"/>
          <c:order val="13"/>
          <c:tx>
            <c:strRef>
              <c:f>UB!$O$4:$O$5</c:f>
              <c:strCache>
                <c:ptCount val="1"/>
                <c:pt idx="0">
                  <c:v>UB 254x102x22</c:v>
                </c:pt>
              </c:strCache>
            </c:strRef>
          </c:tx>
          <c:spPr>
            <a:solidFill>
              <a:schemeClr val="accent1">
                <a:tint val="7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UB!$O$6:$O$18</c:f>
              <c:numCache>
                <c:formatCode>General</c:formatCode>
                <c:ptCount val="12"/>
                <c:pt idx="0">
                  <c:v>0</c:v>
                </c:pt>
                <c:pt idx="1">
                  <c:v>0.5376000000000023</c:v>
                </c:pt>
                <c:pt idx="2">
                  <c:v>2.3632000000000017</c:v>
                </c:pt>
                <c:pt idx="3">
                  <c:v>2.5871999999999913</c:v>
                </c:pt>
                <c:pt idx="4">
                  <c:v>0.44799999999999968</c:v>
                </c:pt>
                <c:pt idx="5">
                  <c:v>0.60200000000000042</c:v>
                </c:pt>
                <c:pt idx="6">
                  <c:v>5.04E-2</c:v>
                </c:pt>
                <c:pt idx="7">
                  <c:v>7.8399999999999997E-2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AF-4D73-B313-404B62C8E707}"/>
            </c:ext>
          </c:extLst>
        </c:ser>
        <c:ser>
          <c:idx val="14"/>
          <c:order val="14"/>
          <c:tx>
            <c:strRef>
              <c:f>UB!$P$4:$P$5</c:f>
              <c:strCache>
                <c:ptCount val="1"/>
                <c:pt idx="0">
                  <c:v>UB 356x171x45</c:v>
                </c:pt>
              </c:strCache>
            </c:strRef>
          </c:tx>
          <c:spPr>
            <a:solidFill>
              <a:schemeClr val="accent1">
                <a:tint val="7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UB!$P$6:$P$18</c:f>
              <c:numCache>
                <c:formatCode>General</c:formatCode>
                <c:ptCount val="12"/>
                <c:pt idx="1">
                  <c:v>5.7299999999999999E-3</c:v>
                </c:pt>
                <c:pt idx="2">
                  <c:v>2.2919999999999999E-2</c:v>
                </c:pt>
                <c:pt idx="3">
                  <c:v>5.1570000000000005E-2</c:v>
                </c:pt>
                <c:pt idx="4">
                  <c:v>9.1679999999999998E-2</c:v>
                </c:pt>
                <c:pt idx="5">
                  <c:v>0.11459999999999999</c:v>
                </c:pt>
                <c:pt idx="6">
                  <c:v>0.44694000000000011</c:v>
                </c:pt>
                <c:pt idx="7">
                  <c:v>0.64175999999999989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AF-4D73-B313-404B62C8E707}"/>
            </c:ext>
          </c:extLst>
        </c:ser>
        <c:ser>
          <c:idx val="15"/>
          <c:order val="15"/>
          <c:tx>
            <c:strRef>
              <c:f>UB!$Q$4:$Q$5</c:f>
              <c:strCache>
                <c:ptCount val="1"/>
                <c:pt idx="0">
                  <c:v>UB 457x152x52</c:v>
                </c:pt>
              </c:strCache>
            </c:strRef>
          </c:tx>
          <c:spPr>
            <a:solidFill>
              <a:schemeClr val="accent1">
                <a:tint val="8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UB!$Q$6:$Q$18</c:f>
              <c:numCache>
                <c:formatCode>General</c:formatCode>
                <c:ptCount val="12"/>
                <c:pt idx="0">
                  <c:v>0</c:v>
                </c:pt>
                <c:pt idx="1">
                  <c:v>5.994E-2</c:v>
                </c:pt>
                <c:pt idx="2">
                  <c:v>5.3280000000000001E-2</c:v>
                </c:pt>
                <c:pt idx="3">
                  <c:v>0.47952</c:v>
                </c:pt>
                <c:pt idx="4">
                  <c:v>0.15984000000000001</c:v>
                </c:pt>
                <c:pt idx="6">
                  <c:v>0.31968000000000002</c:v>
                </c:pt>
                <c:pt idx="7">
                  <c:v>3.3566399999999987</c:v>
                </c:pt>
                <c:pt idx="9">
                  <c:v>0.11988</c:v>
                </c:pt>
                <c:pt idx="10">
                  <c:v>6.6600000000000006E-2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2AF-4D73-B313-404B62C8E707}"/>
            </c:ext>
          </c:extLst>
        </c:ser>
        <c:ser>
          <c:idx val="16"/>
          <c:order val="16"/>
          <c:tx>
            <c:strRef>
              <c:f>UB!$R$4:$R$5</c:f>
              <c:strCache>
                <c:ptCount val="1"/>
                <c:pt idx="0">
                  <c:v>UB 610x305x238</c:v>
                </c:pt>
              </c:strCache>
            </c:strRef>
          </c:tx>
          <c:spPr>
            <a:solidFill>
              <a:schemeClr val="accent1">
                <a:tint val="8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UB!$R$6:$R$18</c:f>
              <c:numCache>
                <c:formatCode>General</c:formatCode>
                <c:ptCount val="12"/>
                <c:pt idx="1">
                  <c:v>9.0900000000000009E-2</c:v>
                </c:pt>
                <c:pt idx="2">
                  <c:v>6.0600000000000001E-2</c:v>
                </c:pt>
                <c:pt idx="5">
                  <c:v>1.8179999999999998</c:v>
                </c:pt>
                <c:pt idx="6">
                  <c:v>0.72720000000000007</c:v>
                </c:pt>
                <c:pt idx="7">
                  <c:v>6.9993000000000052</c:v>
                </c:pt>
                <c:pt idx="8">
                  <c:v>1.212</c:v>
                </c:pt>
                <c:pt idx="9">
                  <c:v>1.3634999999999999</c:v>
                </c:pt>
                <c:pt idx="10">
                  <c:v>1.212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2AF-4D73-B313-404B62C8E707}"/>
            </c:ext>
          </c:extLst>
        </c:ser>
        <c:ser>
          <c:idx val="17"/>
          <c:order val="17"/>
          <c:tx>
            <c:strRef>
              <c:f>UB!$S$4:$S$5</c:f>
              <c:strCache>
                <c:ptCount val="1"/>
                <c:pt idx="0">
                  <c:v>UB 610x229x125</c:v>
                </c:pt>
              </c:strCache>
            </c:strRef>
          </c:tx>
          <c:spPr>
            <a:solidFill>
              <a:schemeClr val="accent1">
                <a:tint val="8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UB!$S$6:$S$18</c:f>
              <c:numCache>
                <c:formatCode>General</c:formatCode>
                <c:ptCount val="12"/>
                <c:pt idx="2">
                  <c:v>0.60420000000000018</c:v>
                </c:pt>
                <c:pt idx="3">
                  <c:v>0.19080000000000003</c:v>
                </c:pt>
                <c:pt idx="4">
                  <c:v>0.50880000000000003</c:v>
                </c:pt>
                <c:pt idx="6">
                  <c:v>0.28620000000000001</c:v>
                </c:pt>
                <c:pt idx="7">
                  <c:v>0.66779999999999995</c:v>
                </c:pt>
                <c:pt idx="8">
                  <c:v>0.12720000000000001</c:v>
                </c:pt>
                <c:pt idx="9">
                  <c:v>0.1431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2AF-4D73-B313-404B62C8E707}"/>
            </c:ext>
          </c:extLst>
        </c:ser>
        <c:ser>
          <c:idx val="18"/>
          <c:order val="18"/>
          <c:tx>
            <c:strRef>
              <c:f>UB!$T$4:$T$5</c:f>
              <c:strCache>
                <c:ptCount val="1"/>
                <c:pt idx="0">
                  <c:v>UB 610x229x140</c:v>
                </c:pt>
              </c:strCache>
            </c:strRef>
          </c:tx>
          <c:spPr>
            <a:solidFill>
              <a:schemeClr val="accent1">
                <a:tint val="9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UB!$T$6:$T$18</c:f>
              <c:numCache>
                <c:formatCode>General</c:formatCode>
                <c:ptCount val="12"/>
                <c:pt idx="1">
                  <c:v>3.56E-2</c:v>
                </c:pt>
                <c:pt idx="2">
                  <c:v>3.56E-2</c:v>
                </c:pt>
                <c:pt idx="4">
                  <c:v>7.1199999999999999E-2</c:v>
                </c:pt>
                <c:pt idx="5">
                  <c:v>8.8999999999999996E-2</c:v>
                </c:pt>
                <c:pt idx="6">
                  <c:v>0.10680000000000001</c:v>
                </c:pt>
                <c:pt idx="7">
                  <c:v>0.49840000000000001</c:v>
                </c:pt>
                <c:pt idx="8">
                  <c:v>0.1424</c:v>
                </c:pt>
                <c:pt idx="11">
                  <c:v>0.3916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2AF-4D73-B313-404B62C8E707}"/>
            </c:ext>
          </c:extLst>
        </c:ser>
        <c:ser>
          <c:idx val="19"/>
          <c:order val="19"/>
          <c:tx>
            <c:strRef>
              <c:f>UB!$U$4:$U$5</c:f>
              <c:strCache>
                <c:ptCount val="1"/>
                <c:pt idx="0">
                  <c:v>UB 610x229x101</c:v>
                </c:pt>
              </c:strCache>
            </c:strRef>
          </c:tx>
          <c:spPr>
            <a:solidFill>
              <a:schemeClr val="accent1">
                <a:tint val="9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UB!$U$6:$U$18</c:f>
              <c:numCache>
                <c:formatCode>General</c:formatCode>
                <c:ptCount val="12"/>
                <c:pt idx="1">
                  <c:v>1.29E-2</c:v>
                </c:pt>
                <c:pt idx="2">
                  <c:v>0.25799999999999995</c:v>
                </c:pt>
                <c:pt idx="4">
                  <c:v>0.82559999999999978</c:v>
                </c:pt>
                <c:pt idx="6">
                  <c:v>0.46440000000000003</c:v>
                </c:pt>
                <c:pt idx="7">
                  <c:v>1.0836000000000003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2AF-4D73-B313-404B62C8E707}"/>
            </c:ext>
          </c:extLst>
        </c:ser>
        <c:ser>
          <c:idx val="20"/>
          <c:order val="20"/>
          <c:tx>
            <c:strRef>
              <c:f>UB!$V$4:$V$5</c:f>
              <c:strCache>
                <c:ptCount val="1"/>
                <c:pt idx="0">
                  <c:v>UB 457x152x67</c:v>
                </c:pt>
              </c:strCache>
            </c:strRef>
          </c:tx>
          <c:spPr>
            <a:solidFill>
              <a:schemeClr val="accent1">
                <a:tint val="9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UB!$V$6:$V$18</c:f>
              <c:numCache>
                <c:formatCode>General</c:formatCode>
                <c:ptCount val="12"/>
                <c:pt idx="1">
                  <c:v>8.5599999999999999E-3</c:v>
                </c:pt>
                <c:pt idx="3">
                  <c:v>2.5680000000000001E-2</c:v>
                </c:pt>
                <c:pt idx="4">
                  <c:v>6.8479999999999999E-2</c:v>
                </c:pt>
                <c:pt idx="5">
                  <c:v>0.25679999999999997</c:v>
                </c:pt>
                <c:pt idx="6">
                  <c:v>0.15407999999999999</c:v>
                </c:pt>
                <c:pt idx="7">
                  <c:v>0.35951999999999995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2AF-4D73-B313-404B62C8E707}"/>
            </c:ext>
          </c:extLst>
        </c:ser>
        <c:ser>
          <c:idx val="21"/>
          <c:order val="21"/>
          <c:tx>
            <c:strRef>
              <c:f>UB!$W$4:$W$5</c:f>
              <c:strCache>
                <c:ptCount val="1"/>
                <c:pt idx="0">
                  <c:v>UB 457x152x82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UB!$W$6:$W$18</c:f>
              <c:numCache>
                <c:formatCode>General</c:formatCode>
                <c:ptCount val="12"/>
                <c:pt idx="2">
                  <c:v>2.1000000000000001E-2</c:v>
                </c:pt>
                <c:pt idx="3">
                  <c:v>6.3E-2</c:v>
                </c:pt>
                <c:pt idx="4">
                  <c:v>4.2000000000000003E-2</c:v>
                </c:pt>
                <c:pt idx="5">
                  <c:v>5.2500000000000005E-2</c:v>
                </c:pt>
                <c:pt idx="7">
                  <c:v>0.51450000000000007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2AF-4D73-B313-404B62C8E707}"/>
            </c:ext>
          </c:extLst>
        </c:ser>
        <c:ser>
          <c:idx val="22"/>
          <c:order val="22"/>
          <c:tx>
            <c:strRef>
              <c:f>UB!$X$4:$X$5</c:f>
              <c:strCache>
                <c:ptCount val="1"/>
                <c:pt idx="0">
                  <c:v>UB 356x171x51</c:v>
                </c:pt>
              </c:strCache>
            </c:strRef>
          </c:tx>
          <c:spPr>
            <a:solidFill>
              <a:schemeClr val="accent1">
                <a:shade val="9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UB!$X$6:$X$18</c:f>
              <c:numCache>
                <c:formatCode>General</c:formatCode>
                <c:ptCount val="12"/>
                <c:pt idx="3">
                  <c:v>1.9470000000000001E-2</c:v>
                </c:pt>
                <c:pt idx="4">
                  <c:v>5.1920000000000001E-2</c:v>
                </c:pt>
                <c:pt idx="5">
                  <c:v>0.38939999999999991</c:v>
                </c:pt>
                <c:pt idx="7">
                  <c:v>0.63601999999999981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2AF-4D73-B313-404B62C8E707}"/>
            </c:ext>
          </c:extLst>
        </c:ser>
        <c:ser>
          <c:idx val="23"/>
          <c:order val="23"/>
          <c:tx>
            <c:strRef>
              <c:f>UB!$Y$4:$Y$5</c:f>
              <c:strCache>
                <c:ptCount val="1"/>
                <c:pt idx="0">
                  <c:v>UB 305x102x28</c:v>
                </c:pt>
              </c:strCache>
            </c:strRef>
          </c:tx>
          <c:spPr>
            <a:solidFill>
              <a:schemeClr val="accent1">
                <a:shade val="9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UB!$Y$6:$Y$18</c:f>
              <c:numCache>
                <c:formatCode>General</c:formatCode>
                <c:ptCount val="12"/>
                <c:pt idx="0">
                  <c:v>0</c:v>
                </c:pt>
                <c:pt idx="1">
                  <c:v>1.7950000000000001E-2</c:v>
                </c:pt>
                <c:pt idx="3">
                  <c:v>2.154E-2</c:v>
                </c:pt>
                <c:pt idx="4">
                  <c:v>0.17232000000000003</c:v>
                </c:pt>
                <c:pt idx="5">
                  <c:v>1.1846999999999999</c:v>
                </c:pt>
                <c:pt idx="6">
                  <c:v>0.19386</c:v>
                </c:pt>
                <c:pt idx="7">
                  <c:v>0.40207999999999983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2AF-4D73-B313-404B62C8E707}"/>
            </c:ext>
          </c:extLst>
        </c:ser>
        <c:ser>
          <c:idx val="24"/>
          <c:order val="24"/>
          <c:tx>
            <c:strRef>
              <c:f>UB!$Z$4:$Z$5</c:f>
              <c:strCache>
                <c:ptCount val="1"/>
                <c:pt idx="0">
                  <c:v>UB 533x210x92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UB!$Z$6:$Z$18</c:f>
              <c:numCache>
                <c:formatCode>General</c:formatCode>
                <c:ptCount val="12"/>
                <c:pt idx="0">
                  <c:v>0</c:v>
                </c:pt>
                <c:pt idx="1">
                  <c:v>3.5099999999999999E-2</c:v>
                </c:pt>
                <c:pt idx="4">
                  <c:v>9.3600000000000003E-2</c:v>
                </c:pt>
                <c:pt idx="5">
                  <c:v>5.8500000000000003E-2</c:v>
                </c:pt>
                <c:pt idx="7">
                  <c:v>1.1465999999999998</c:v>
                </c:pt>
                <c:pt idx="8">
                  <c:v>0.6552</c:v>
                </c:pt>
                <c:pt idx="10">
                  <c:v>0.11700000000000001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2AF-4D73-B313-404B62C8E707}"/>
            </c:ext>
          </c:extLst>
        </c:ser>
        <c:ser>
          <c:idx val="25"/>
          <c:order val="25"/>
          <c:tx>
            <c:strRef>
              <c:f>UB!$AA$4:$AA$5</c:f>
              <c:strCache>
                <c:ptCount val="1"/>
                <c:pt idx="0">
                  <c:v>UB 254x102x25</c:v>
                </c:pt>
              </c:strCache>
            </c:strRef>
          </c:tx>
          <c:spPr>
            <a:solidFill>
              <a:schemeClr val="accent1">
                <a:shade val="8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UB!$AA$6:$AA$18</c:f>
              <c:numCache>
                <c:formatCode>General</c:formatCode>
                <c:ptCount val="12"/>
                <c:pt idx="0">
                  <c:v>0</c:v>
                </c:pt>
                <c:pt idx="1">
                  <c:v>9.6000000000000009E-3</c:v>
                </c:pt>
                <c:pt idx="2">
                  <c:v>6.4000000000000003E-3</c:v>
                </c:pt>
                <c:pt idx="3">
                  <c:v>0.22079999999999997</c:v>
                </c:pt>
                <c:pt idx="4">
                  <c:v>6.4000000000000001E-2</c:v>
                </c:pt>
                <c:pt idx="5">
                  <c:v>1.6E-2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2AF-4D73-B313-404B62C8E707}"/>
            </c:ext>
          </c:extLst>
        </c:ser>
        <c:ser>
          <c:idx val="26"/>
          <c:order val="26"/>
          <c:tx>
            <c:strRef>
              <c:f>UB!$AB$4:$AB$5</c:f>
              <c:strCache>
                <c:ptCount val="1"/>
                <c:pt idx="0">
                  <c:v>UB 305x102x33</c:v>
                </c:pt>
              </c:strCache>
            </c:strRef>
          </c:tx>
          <c:spPr>
            <a:solidFill>
              <a:schemeClr val="accent1">
                <a:shade val="8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UB!$AB$6:$AB$18</c:f>
              <c:numCache>
                <c:formatCode>General</c:formatCode>
                <c:ptCount val="12"/>
                <c:pt idx="1">
                  <c:v>3.3439999999999998E-2</c:v>
                </c:pt>
                <c:pt idx="2">
                  <c:v>9.1960000000000014E-2</c:v>
                </c:pt>
                <c:pt idx="3">
                  <c:v>0.13793999999999998</c:v>
                </c:pt>
                <c:pt idx="4">
                  <c:v>1.6719999999999999E-2</c:v>
                </c:pt>
                <c:pt idx="5">
                  <c:v>0.18809999999999999</c:v>
                </c:pt>
                <c:pt idx="6">
                  <c:v>2.0565599999999997</c:v>
                </c:pt>
                <c:pt idx="7">
                  <c:v>5.3545799999999835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2AF-4D73-B313-404B62C8E707}"/>
            </c:ext>
          </c:extLst>
        </c:ser>
        <c:ser>
          <c:idx val="27"/>
          <c:order val="27"/>
          <c:tx>
            <c:strRef>
              <c:f>UB!$AC$4:$AC$5</c:f>
              <c:strCache>
                <c:ptCount val="1"/>
                <c:pt idx="0">
                  <c:v>UB 356x127x33</c:v>
                </c:pt>
              </c:strCache>
            </c:strRef>
          </c:tx>
          <c:spPr>
            <a:solidFill>
              <a:schemeClr val="accent1">
                <a:shade val="8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UB!$AC$6:$AC$18</c:f>
              <c:numCache>
                <c:formatCode>General</c:formatCode>
                <c:ptCount val="12"/>
                <c:pt idx="2">
                  <c:v>4.2099999999999999E-2</c:v>
                </c:pt>
                <c:pt idx="3">
                  <c:v>2.5260000000000001E-2</c:v>
                </c:pt>
                <c:pt idx="4">
                  <c:v>6.7360000000000003E-2</c:v>
                </c:pt>
                <c:pt idx="5">
                  <c:v>4.2099999999999999E-2</c:v>
                </c:pt>
                <c:pt idx="6">
                  <c:v>2.5260000000000001E-2</c:v>
                </c:pt>
                <c:pt idx="7">
                  <c:v>0.79569000000000001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2AF-4D73-B313-404B62C8E707}"/>
            </c:ext>
          </c:extLst>
        </c:ser>
        <c:ser>
          <c:idx val="28"/>
          <c:order val="28"/>
          <c:tx>
            <c:strRef>
              <c:f>UB!$AD$4:$AD$5</c:f>
              <c:strCache>
                <c:ptCount val="1"/>
                <c:pt idx="0">
                  <c:v>UB 533x210x82</c:v>
                </c:pt>
              </c:strCache>
            </c:strRef>
          </c:tx>
          <c:spPr>
            <a:solidFill>
              <a:schemeClr val="accent1">
                <a:shade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UB!$AD$6:$AD$18</c:f>
              <c:numCache>
                <c:formatCode>General</c:formatCode>
                <c:ptCount val="12"/>
                <c:pt idx="3">
                  <c:v>0.1575</c:v>
                </c:pt>
                <c:pt idx="4">
                  <c:v>4.2000000000000003E-2</c:v>
                </c:pt>
                <c:pt idx="5">
                  <c:v>0.26250000000000001</c:v>
                </c:pt>
                <c:pt idx="6">
                  <c:v>0.56699999999999995</c:v>
                </c:pt>
                <c:pt idx="7">
                  <c:v>0.80850000000000011</c:v>
                </c:pt>
                <c:pt idx="8">
                  <c:v>0.33600000000000002</c:v>
                </c:pt>
                <c:pt idx="9">
                  <c:v>0.189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2AF-4D73-B313-404B62C8E707}"/>
            </c:ext>
          </c:extLst>
        </c:ser>
        <c:ser>
          <c:idx val="29"/>
          <c:order val="29"/>
          <c:tx>
            <c:strRef>
              <c:f>UB!$AE$4:$AE$5</c:f>
              <c:strCache>
                <c:ptCount val="1"/>
                <c:pt idx="0">
                  <c:v>UB 457x152x74</c:v>
                </c:pt>
              </c:strCache>
            </c:strRef>
          </c:tx>
          <c:spPr>
            <a:solidFill>
              <a:schemeClr val="accent1">
                <a:shade val="7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UB!$AE$6:$AE$18</c:f>
              <c:numCache>
                <c:formatCode>General</c:formatCode>
                <c:ptCount val="12"/>
                <c:pt idx="1">
                  <c:v>9.4500000000000001E-3</c:v>
                </c:pt>
                <c:pt idx="5">
                  <c:v>0.14174999999999999</c:v>
                </c:pt>
                <c:pt idx="6">
                  <c:v>0.2268</c:v>
                </c:pt>
                <c:pt idx="7">
                  <c:v>0.2646</c:v>
                </c:pt>
                <c:pt idx="9">
                  <c:v>0.1701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7-43E2-AC6F-19AABFE024F9}"/>
            </c:ext>
          </c:extLst>
        </c:ser>
        <c:ser>
          <c:idx val="30"/>
          <c:order val="30"/>
          <c:tx>
            <c:strRef>
              <c:f>UB!$AF$4:$AF$5</c:f>
              <c:strCache>
                <c:ptCount val="1"/>
                <c:pt idx="0">
                  <c:v>UB 254x102x28</c:v>
                </c:pt>
              </c:strCache>
            </c:strRef>
          </c:tx>
          <c:spPr>
            <a:solidFill>
              <a:schemeClr val="accent1">
                <a:shade val="7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UB!$AF$6:$AF$18</c:f>
              <c:numCache>
                <c:formatCode>General</c:formatCode>
                <c:ptCount val="12"/>
                <c:pt idx="0">
                  <c:v>0</c:v>
                </c:pt>
                <c:pt idx="1">
                  <c:v>0.12996000000000005</c:v>
                </c:pt>
                <c:pt idx="2">
                  <c:v>0.32490000000000013</c:v>
                </c:pt>
                <c:pt idx="3">
                  <c:v>0.40071000000000018</c:v>
                </c:pt>
                <c:pt idx="4">
                  <c:v>5.7759999999999999E-2</c:v>
                </c:pt>
                <c:pt idx="6">
                  <c:v>4.3319999999999997E-2</c:v>
                </c:pt>
                <c:pt idx="7">
                  <c:v>2.5270000000000001E-2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87-43E2-AC6F-19AABFE024F9}"/>
            </c:ext>
          </c:extLst>
        </c:ser>
        <c:ser>
          <c:idx val="31"/>
          <c:order val="31"/>
          <c:tx>
            <c:strRef>
              <c:f>UB!$AG$4:$AG$5</c:f>
              <c:strCache>
                <c:ptCount val="1"/>
                <c:pt idx="0">
                  <c:v>UB 457x191x74</c:v>
                </c:pt>
              </c:strCache>
            </c:strRef>
          </c:tx>
          <c:spPr>
            <a:solidFill>
              <a:schemeClr val="accent1">
                <a:shade val="6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UB!$AG$6:$AG$18</c:f>
              <c:numCache>
                <c:formatCode>General</c:formatCode>
                <c:ptCount val="12"/>
                <c:pt idx="2">
                  <c:v>1.8919999999999999E-2</c:v>
                </c:pt>
                <c:pt idx="3">
                  <c:v>0.22703999999999996</c:v>
                </c:pt>
                <c:pt idx="4">
                  <c:v>3.7839999999999999E-2</c:v>
                </c:pt>
                <c:pt idx="6">
                  <c:v>0.11352</c:v>
                </c:pt>
                <c:pt idx="7">
                  <c:v>0.46354000000000001</c:v>
                </c:pt>
                <c:pt idx="10">
                  <c:v>0.47299999999999998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87-43E2-AC6F-19AABFE024F9}"/>
            </c:ext>
          </c:extLst>
        </c:ser>
        <c:ser>
          <c:idx val="32"/>
          <c:order val="32"/>
          <c:tx>
            <c:strRef>
              <c:f>UB!$AH$4:$AH$5</c:f>
              <c:strCache>
                <c:ptCount val="1"/>
                <c:pt idx="0">
                  <c:v>UB 457x152x60</c:v>
                </c:pt>
              </c:strCache>
            </c:strRef>
          </c:tx>
          <c:spPr>
            <a:solidFill>
              <a:schemeClr val="accent1">
                <a:shade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UB!$AH$6:$AH$18</c:f>
              <c:numCache>
                <c:formatCode>General</c:formatCode>
                <c:ptCount val="12"/>
                <c:pt idx="2">
                  <c:v>6.096E-2</c:v>
                </c:pt>
                <c:pt idx="4">
                  <c:v>0.21336000000000002</c:v>
                </c:pt>
                <c:pt idx="5">
                  <c:v>0.45720000000000011</c:v>
                </c:pt>
                <c:pt idx="6">
                  <c:v>0.22859999999999997</c:v>
                </c:pt>
                <c:pt idx="7">
                  <c:v>3.4137599999999972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87-43E2-AC6F-19AABFE024F9}"/>
            </c:ext>
          </c:extLst>
        </c:ser>
        <c:ser>
          <c:idx val="33"/>
          <c:order val="33"/>
          <c:tx>
            <c:strRef>
              <c:f>UB!$AI$4:$AI$5</c:f>
              <c:strCache>
                <c:ptCount val="1"/>
                <c:pt idx="0">
                  <c:v>UB 305x102x25</c:v>
                </c:pt>
              </c:strCache>
            </c:strRef>
          </c:tx>
          <c:spPr>
            <a:solidFill>
              <a:schemeClr val="accent1">
                <a:shade val="6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UB!$AI$6:$AI$18</c:f>
              <c:numCache>
                <c:formatCode>General</c:formatCode>
                <c:ptCount val="12"/>
                <c:pt idx="0">
                  <c:v>0</c:v>
                </c:pt>
                <c:pt idx="1">
                  <c:v>3.16E-3</c:v>
                </c:pt>
                <c:pt idx="2">
                  <c:v>6.3200000000000001E-3</c:v>
                </c:pt>
                <c:pt idx="3">
                  <c:v>7.5840000000000005E-2</c:v>
                </c:pt>
                <c:pt idx="4">
                  <c:v>0.22752000000000011</c:v>
                </c:pt>
                <c:pt idx="5">
                  <c:v>0.316</c:v>
                </c:pt>
                <c:pt idx="6">
                  <c:v>7.5840000000000005E-2</c:v>
                </c:pt>
                <c:pt idx="7">
                  <c:v>0.1106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87-43E2-AC6F-19AABFE024F9}"/>
            </c:ext>
          </c:extLst>
        </c:ser>
        <c:ser>
          <c:idx val="34"/>
          <c:order val="34"/>
          <c:tx>
            <c:strRef>
              <c:f>UB!$AJ$4:$AJ$5</c:f>
              <c:strCache>
                <c:ptCount val="1"/>
                <c:pt idx="0">
                  <c:v>UB 406x140x46</c:v>
                </c:pt>
              </c:strCache>
            </c:strRef>
          </c:tx>
          <c:spPr>
            <a:solidFill>
              <a:schemeClr val="accent1">
                <a:shade val="5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UB!$AJ$6:$AJ$18</c:f>
              <c:numCache>
                <c:formatCode>General</c:formatCode>
                <c:ptCount val="12"/>
                <c:pt idx="1">
                  <c:v>5.8599999999999998E-3</c:v>
                </c:pt>
                <c:pt idx="2">
                  <c:v>9.3759999999999982E-2</c:v>
                </c:pt>
                <c:pt idx="3">
                  <c:v>0.22853999999999991</c:v>
                </c:pt>
                <c:pt idx="4">
                  <c:v>0.32816000000000001</c:v>
                </c:pt>
                <c:pt idx="7">
                  <c:v>0.41020000000000001</c:v>
                </c:pt>
                <c:pt idx="8">
                  <c:v>0.46879999999999988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87-43E2-AC6F-19AABFE024F9}"/>
            </c:ext>
          </c:extLst>
        </c:ser>
        <c:ser>
          <c:idx val="35"/>
          <c:order val="35"/>
          <c:tx>
            <c:strRef>
              <c:f>UB!$AK$4:$AK$5</c:f>
              <c:strCache>
                <c:ptCount val="1"/>
                <c:pt idx="0">
                  <c:v>UB 406x140x39</c:v>
                </c:pt>
              </c:strCache>
            </c:strRef>
          </c:tx>
          <c:spPr>
            <a:solidFill>
              <a:schemeClr val="accent1">
                <a:shade val="5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UB!$AK$6:$AK$18</c:f>
              <c:numCache>
                <c:formatCode>General</c:formatCode>
                <c:ptCount val="12"/>
                <c:pt idx="1">
                  <c:v>9.9399999999999992E-3</c:v>
                </c:pt>
                <c:pt idx="2">
                  <c:v>9.9400000000000002E-2</c:v>
                </c:pt>
                <c:pt idx="3">
                  <c:v>0.46220999999999979</c:v>
                </c:pt>
                <c:pt idx="4">
                  <c:v>0.27832000000000001</c:v>
                </c:pt>
                <c:pt idx="6">
                  <c:v>0.11928</c:v>
                </c:pt>
                <c:pt idx="7">
                  <c:v>1.11328</c:v>
                </c:pt>
                <c:pt idx="8">
                  <c:v>0.79520000000000013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87-43E2-AC6F-19AABFE024F9}"/>
            </c:ext>
          </c:extLst>
        </c:ser>
        <c:ser>
          <c:idx val="36"/>
          <c:order val="36"/>
          <c:tx>
            <c:strRef>
              <c:f>UB!$AL$4:$AL$5</c:f>
              <c:strCache>
                <c:ptCount val="1"/>
                <c:pt idx="0">
                  <c:v>UB 533x210x101</c:v>
                </c:pt>
              </c:strCache>
            </c:strRef>
          </c:tx>
          <c:spPr>
            <a:solidFill>
              <a:schemeClr val="accent1">
                <a:shade val="5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UB!$AL$6:$AL$18</c:f>
              <c:numCache>
                <c:formatCode>General</c:formatCode>
                <c:ptCount val="12"/>
                <c:pt idx="4">
                  <c:v>0.25800000000000001</c:v>
                </c:pt>
                <c:pt idx="5">
                  <c:v>0.45150000000000001</c:v>
                </c:pt>
                <c:pt idx="7">
                  <c:v>1.2642000000000004</c:v>
                </c:pt>
                <c:pt idx="8">
                  <c:v>0.1032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87-43E2-AC6F-19AABFE024F9}"/>
            </c:ext>
          </c:extLst>
        </c:ser>
        <c:ser>
          <c:idx val="37"/>
          <c:order val="37"/>
          <c:tx>
            <c:strRef>
              <c:f>UB!$AM$4:$AM$5</c:f>
              <c:strCache>
                <c:ptCount val="1"/>
                <c:pt idx="0">
                  <c:v>UB 203x133x30</c:v>
                </c:pt>
              </c:strCache>
            </c:strRef>
          </c:tx>
          <c:spPr>
            <a:solidFill>
              <a:schemeClr val="accent1">
                <a:shade val="4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UB!$AM$6:$AM$18</c:f>
              <c:numCache>
                <c:formatCode>General</c:formatCode>
                <c:ptCount val="12"/>
                <c:pt idx="1">
                  <c:v>3.4380000000000001E-2</c:v>
                </c:pt>
                <c:pt idx="2">
                  <c:v>3.056E-2</c:v>
                </c:pt>
                <c:pt idx="3">
                  <c:v>1.146E-2</c:v>
                </c:pt>
                <c:pt idx="5">
                  <c:v>3.8199999999999998E-2</c:v>
                </c:pt>
                <c:pt idx="7">
                  <c:v>5.348E-2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87-43E2-AC6F-19AABFE024F9}"/>
            </c:ext>
          </c:extLst>
        </c:ser>
        <c:ser>
          <c:idx val="38"/>
          <c:order val="38"/>
          <c:tx>
            <c:strRef>
              <c:f>UB!$AN$4:$AN$5</c:f>
              <c:strCache>
                <c:ptCount val="1"/>
                <c:pt idx="0">
                  <c:v>UB 406x178x67</c:v>
                </c:pt>
              </c:strCache>
            </c:strRef>
          </c:tx>
          <c:spPr>
            <a:solidFill>
              <a:schemeClr val="accent1">
                <a:shade val="4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UB!$AN$6:$AN$18</c:f>
              <c:numCache>
                <c:formatCode>General</c:formatCode>
                <c:ptCount val="12"/>
                <c:pt idx="3">
                  <c:v>0.17955000000000002</c:v>
                </c:pt>
                <c:pt idx="5">
                  <c:v>4.2750000000000003E-2</c:v>
                </c:pt>
                <c:pt idx="6">
                  <c:v>0.1026</c:v>
                </c:pt>
                <c:pt idx="7">
                  <c:v>0.41895000000000004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87-43E2-AC6F-19AABFE024F9}"/>
            </c:ext>
          </c:extLst>
        </c:ser>
        <c:ser>
          <c:idx val="39"/>
          <c:order val="39"/>
          <c:tx>
            <c:strRef>
              <c:f>UB!$AO$4:$AO$5</c:f>
              <c:strCache>
                <c:ptCount val="1"/>
                <c:pt idx="0">
                  <c:v>UB 457x191x82</c:v>
                </c:pt>
              </c:strCache>
            </c:strRef>
          </c:tx>
          <c:spPr>
            <a:solidFill>
              <a:schemeClr val="accent1">
                <a:shade val="4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UB!$AO$6:$AO$18</c:f>
              <c:numCache>
                <c:formatCode>General</c:formatCode>
                <c:ptCount val="12"/>
                <c:pt idx="3">
                  <c:v>3.1199999999999999E-2</c:v>
                </c:pt>
                <c:pt idx="6">
                  <c:v>6.2399999999999997E-2</c:v>
                </c:pt>
                <c:pt idx="7">
                  <c:v>0.65519999999999989</c:v>
                </c:pt>
                <c:pt idx="8">
                  <c:v>0.91519999999999979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87-43E2-AC6F-19AABFE024F9}"/>
            </c:ext>
          </c:extLst>
        </c:ser>
        <c:ser>
          <c:idx val="40"/>
          <c:order val="40"/>
          <c:tx>
            <c:strRef>
              <c:f>UB!$AP$4:$AP$5</c:f>
              <c:strCache>
                <c:ptCount val="1"/>
                <c:pt idx="0">
                  <c:v>UB 686x254x125</c:v>
                </c:pt>
              </c:strCache>
            </c:strRef>
          </c:tx>
          <c:spPr>
            <a:solidFill>
              <a:schemeClr val="accent1">
                <a:shade val="3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UB!$AP$6:$AP$18</c:f>
              <c:numCache>
                <c:formatCode>General</c:formatCode>
                <c:ptCount val="12"/>
                <c:pt idx="7">
                  <c:v>0.11130000000000001</c:v>
                </c:pt>
                <c:pt idx="9">
                  <c:v>1.5741000000000001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187-43E2-AC6F-19AABFE024F9}"/>
            </c:ext>
          </c:extLst>
        </c:ser>
        <c:ser>
          <c:idx val="41"/>
          <c:order val="41"/>
          <c:tx>
            <c:strRef>
              <c:f>UB!$AQ$4:$AQ$5</c:f>
              <c:strCache>
                <c:ptCount val="1"/>
                <c:pt idx="0">
                  <c:v>UB 406x178x54</c:v>
                </c:pt>
              </c:strCache>
            </c:strRef>
          </c:tx>
          <c:spPr>
            <a:solidFill>
              <a:schemeClr val="accent1">
                <a:shade val="3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UB!$AQ$6:$AQ$18</c:f>
              <c:numCache>
                <c:formatCode>General</c:formatCode>
                <c:ptCount val="12"/>
                <c:pt idx="7">
                  <c:v>0.62790000000000001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87-43E2-AC6F-19AABFE024F9}"/>
            </c:ext>
          </c:extLst>
        </c:ser>
        <c:ser>
          <c:idx val="42"/>
          <c:order val="42"/>
          <c:tx>
            <c:strRef>
              <c:f>UB!$AR$4:$AR$5</c:f>
              <c:strCache>
                <c:ptCount val="1"/>
                <c:pt idx="0">
                  <c:v>UB 406x178x60</c:v>
                </c:pt>
              </c:strCache>
            </c:strRef>
          </c:tx>
          <c:spPr>
            <a:solidFill>
              <a:schemeClr val="accent1">
                <a:shade val="3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UB!$AR$6:$AR$18</c:f>
              <c:numCache>
                <c:formatCode>General</c:formatCode>
                <c:ptCount val="12"/>
                <c:pt idx="4">
                  <c:v>3.0599999999999999E-2</c:v>
                </c:pt>
                <c:pt idx="5">
                  <c:v>0.11474999999999999</c:v>
                </c:pt>
                <c:pt idx="7">
                  <c:v>0.64259999999999995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C-45E3-AADD-49242E96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001385826771656"/>
          <c:y val="2.7176667032702048E-2"/>
          <c:w val="0.17640668568360171"/>
          <c:h val="0.7379008413451141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100"/>
              <a:t>Section</a:t>
            </a:r>
            <a:r>
              <a:rPr lang="en-GB" sz="1100" baseline="0"/>
              <a:t> Types Excluded from Graphs by Volume</a:t>
            </a:r>
            <a:endParaRPr lang="en-GB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D0-4D00-8B5B-DFC85B78583D}"/>
              </c:ext>
            </c:extLst>
          </c:dPt>
          <c:dPt>
            <c:idx val="1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1D0-4D00-8B5B-DFC85B7858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Table'!$O$2:$O$3</c:f>
              <c:strCache>
                <c:ptCount val="2"/>
                <c:pt idx="0">
                  <c:v>Shown</c:v>
                </c:pt>
                <c:pt idx="1">
                  <c:v>Excluded</c:v>
                </c:pt>
              </c:strCache>
            </c:strRef>
          </c:cat>
          <c:val>
            <c:numRef>
              <c:f>'Total Table'!$P$2:$P$3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D0-4D00-8B5B-DFC85B785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100"/>
              <a:t>Known</a:t>
            </a:r>
            <a:r>
              <a:rPr lang="en-GB" sz="1100" baseline="0"/>
              <a:t> vs. Unknown Elements by Length</a:t>
            </a:r>
            <a:endParaRPr lang="en-GB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</c:spPr>
          <c:explosion val="5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4C-4773-BBD6-B887DDB5A8ED}"/>
              </c:ext>
            </c:extLst>
          </c:dPt>
          <c:dPt>
            <c:idx val="1"/>
            <c:bubble3D val="0"/>
            <c:spPr>
              <a:solidFill>
                <a:srgbClr val="CC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4C-4773-BBD6-B887DDB5A8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Table'!$O$6:$O$7</c:f>
              <c:strCache>
                <c:ptCount val="2"/>
                <c:pt idx="0">
                  <c:v>Known</c:v>
                </c:pt>
                <c:pt idx="1">
                  <c:v>Unknown</c:v>
                </c:pt>
              </c:strCache>
            </c:strRef>
          </c:cat>
          <c:val>
            <c:numRef>
              <c:f>'Total Table'!$P$6:$P$7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4C-4773-BBD6-B887DDB5A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100"/>
              <a:t>Sections Planned</a:t>
            </a:r>
            <a:r>
              <a:rPr lang="en-GB" sz="1100" baseline="0"/>
              <a:t> for Reuse by Volume</a:t>
            </a:r>
            <a:endParaRPr lang="en-GB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F7-4F12-AABA-56B7914F44A7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F7-4F12-AABA-56B7914F44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Table'!$O$11:$O$12</c:f>
              <c:strCache>
                <c:ptCount val="2"/>
                <c:pt idx="0">
                  <c:v>Reused</c:v>
                </c:pt>
                <c:pt idx="1">
                  <c:v>Remaining Known</c:v>
                </c:pt>
              </c:strCache>
            </c:strRef>
          </c:cat>
          <c:val>
            <c:numRef>
              <c:f>'Total Table'!$P$11:$P$12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F7-4F12-AABA-56B7914F4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[Database_Graphs.xlsm]UC!PivotTable5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UC!$B$4:$B$5</c:f>
              <c:strCache>
                <c:ptCount val="1"/>
                <c:pt idx="0">
                  <c:v>UC 356x406x393</c:v>
                </c:pt>
              </c:strCache>
            </c:strRef>
          </c:tx>
          <c:spPr>
            <a:solidFill>
              <a:schemeClr val="accent1">
                <a:tint val="3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UC!$B$6:$B$20</c:f>
              <c:numCache>
                <c:formatCode>General</c:formatCode>
                <c:ptCount val="14"/>
                <c:pt idx="5">
                  <c:v>0.2505</c:v>
                </c:pt>
                <c:pt idx="6">
                  <c:v>0.90179999999999993</c:v>
                </c:pt>
                <c:pt idx="7">
                  <c:v>8.7674999999999965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5-4369-89CB-2F95D47B574F}"/>
            </c:ext>
          </c:extLst>
        </c:ser>
        <c:ser>
          <c:idx val="1"/>
          <c:order val="1"/>
          <c:tx>
            <c:strRef>
              <c:f>UC!$C$4:$C$5</c:f>
              <c:strCache>
                <c:ptCount val="1"/>
                <c:pt idx="0">
                  <c:v>UC 356x406x287</c:v>
                </c:pt>
              </c:strCache>
            </c:strRef>
          </c:tx>
          <c:spPr>
            <a:solidFill>
              <a:schemeClr val="accent1">
                <a:tint val="4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UC!$C$6:$C$20</c:f>
              <c:numCache>
                <c:formatCode>General</c:formatCode>
                <c:ptCount val="14"/>
                <c:pt idx="3">
                  <c:v>0.21960000000000002</c:v>
                </c:pt>
                <c:pt idx="5">
                  <c:v>0.183</c:v>
                </c:pt>
                <c:pt idx="6">
                  <c:v>0.43920000000000003</c:v>
                </c:pt>
                <c:pt idx="7">
                  <c:v>2.0495999999999999</c:v>
                </c:pt>
                <c:pt idx="8">
                  <c:v>0.58560000000000001</c:v>
                </c:pt>
                <c:pt idx="9">
                  <c:v>0.98820000000000008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25-4369-89CB-2F95D47B574F}"/>
            </c:ext>
          </c:extLst>
        </c:ser>
        <c:ser>
          <c:idx val="2"/>
          <c:order val="2"/>
          <c:tx>
            <c:strRef>
              <c:f>UC!$D$4:$D$5</c:f>
              <c:strCache>
                <c:ptCount val="1"/>
                <c:pt idx="0">
                  <c:v>UC 203x203x46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UC!$D$6:$D$20</c:f>
              <c:numCache>
                <c:formatCode>General</c:formatCode>
                <c:ptCount val="14"/>
                <c:pt idx="1">
                  <c:v>3.5220000000000001E-2</c:v>
                </c:pt>
                <c:pt idx="2">
                  <c:v>9.3920000000000003E-2</c:v>
                </c:pt>
                <c:pt idx="3">
                  <c:v>0.17610000000000003</c:v>
                </c:pt>
                <c:pt idx="7">
                  <c:v>0.32872000000000007</c:v>
                </c:pt>
                <c:pt idx="9">
                  <c:v>5.2830000000000002E-2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25-4369-89CB-2F95D47B574F}"/>
            </c:ext>
          </c:extLst>
        </c:ser>
        <c:ser>
          <c:idx val="3"/>
          <c:order val="3"/>
          <c:tx>
            <c:strRef>
              <c:f>UC!$E$4:$E$5</c:f>
              <c:strCache>
                <c:ptCount val="1"/>
                <c:pt idx="0">
                  <c:v>UC 305x305x198</c:v>
                </c:pt>
              </c:strCache>
            </c:strRef>
          </c:tx>
          <c:spPr>
            <a:solidFill>
              <a:schemeClr val="accent1">
                <a:tint val="5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UC!$E$6:$E$20</c:f>
              <c:numCache>
                <c:formatCode>General</c:formatCode>
                <c:ptCount val="14"/>
                <c:pt idx="7">
                  <c:v>2.2932000000000006</c:v>
                </c:pt>
                <c:pt idx="8">
                  <c:v>2.016</c:v>
                </c:pt>
                <c:pt idx="9">
                  <c:v>1.5875999999999997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25-4369-89CB-2F95D47B574F}"/>
            </c:ext>
          </c:extLst>
        </c:ser>
        <c:ser>
          <c:idx val="4"/>
          <c:order val="4"/>
          <c:tx>
            <c:strRef>
              <c:f>UC!$F$4:$F$5</c:f>
              <c:strCache>
                <c:ptCount val="1"/>
                <c:pt idx="0">
                  <c:v>UC 254x254x107</c:v>
                </c:pt>
              </c:strCache>
            </c:strRef>
          </c:tx>
          <c:spPr>
            <a:solidFill>
              <a:schemeClr val="accent1">
                <a:tint val="6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UC!$F$6:$F$20</c:f>
              <c:numCache>
                <c:formatCode>General</c:formatCode>
                <c:ptCount val="14"/>
                <c:pt idx="2">
                  <c:v>2.7199999999999998E-2</c:v>
                </c:pt>
                <c:pt idx="5">
                  <c:v>0.27199999999999996</c:v>
                </c:pt>
                <c:pt idx="6">
                  <c:v>0.81599999999999995</c:v>
                </c:pt>
                <c:pt idx="7">
                  <c:v>0.76159999999999983</c:v>
                </c:pt>
                <c:pt idx="8">
                  <c:v>0.76159999999999994</c:v>
                </c:pt>
                <c:pt idx="9">
                  <c:v>0.73439999999999994</c:v>
                </c:pt>
                <c:pt idx="10">
                  <c:v>0.27199999999999996</c:v>
                </c:pt>
                <c:pt idx="11">
                  <c:v>0.44879999999999998</c:v>
                </c:pt>
                <c:pt idx="12">
                  <c:v>3.2639999999999985</c:v>
                </c:pt>
                <c:pt idx="13">
                  <c:v>0.53039999999999998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25-4369-89CB-2F95D47B574F}"/>
            </c:ext>
          </c:extLst>
        </c:ser>
        <c:ser>
          <c:idx val="5"/>
          <c:order val="5"/>
          <c:tx>
            <c:strRef>
              <c:f>UC!$G$4:$G$5</c:f>
              <c:strCache>
                <c:ptCount val="1"/>
                <c:pt idx="0">
                  <c:v>UC 305x305x240</c:v>
                </c:pt>
              </c:strCache>
            </c:strRef>
          </c:tx>
          <c:spPr>
            <a:solidFill>
              <a:schemeClr val="accent1">
                <a:tint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UC!$G$6:$G$20</c:f>
              <c:numCache>
                <c:formatCode>General</c:formatCode>
                <c:ptCount val="14"/>
                <c:pt idx="7">
                  <c:v>2.5703999999999998</c:v>
                </c:pt>
                <c:pt idx="8">
                  <c:v>2.6928000000000001</c:v>
                </c:pt>
                <c:pt idx="9">
                  <c:v>1.1015999999999999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8-B825-4369-89CB-2F95D47B574F}"/>
            </c:ext>
          </c:extLst>
        </c:ser>
        <c:ser>
          <c:idx val="6"/>
          <c:order val="6"/>
          <c:tx>
            <c:strRef>
              <c:f>UC!$H$4:$H$5</c:f>
              <c:strCache>
                <c:ptCount val="1"/>
                <c:pt idx="0">
                  <c:v>UC 305x305x158</c:v>
                </c:pt>
              </c:strCache>
            </c:strRef>
          </c:tx>
          <c:spPr>
            <a:solidFill>
              <a:schemeClr val="accent1">
                <a:tint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UC!$H$6:$H$20</c:f>
              <c:numCache>
                <c:formatCode>General</c:formatCode>
                <c:ptCount val="14"/>
                <c:pt idx="6">
                  <c:v>0.1206</c:v>
                </c:pt>
                <c:pt idx="7">
                  <c:v>0.84420000000000006</c:v>
                </c:pt>
                <c:pt idx="8">
                  <c:v>0.9648000000000001</c:v>
                </c:pt>
                <c:pt idx="9">
                  <c:v>0.54269999999999996</c:v>
                </c:pt>
                <c:pt idx="11">
                  <c:v>0.22109999999999999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9-B825-4369-89CB-2F95D47B574F}"/>
            </c:ext>
          </c:extLst>
        </c:ser>
        <c:ser>
          <c:idx val="7"/>
          <c:order val="7"/>
          <c:tx>
            <c:strRef>
              <c:f>UC!$I$4:$I$5</c:f>
              <c:strCache>
                <c:ptCount val="1"/>
                <c:pt idx="0">
                  <c:v>UC 305x305x118</c:v>
                </c:pt>
              </c:strCache>
            </c:strRef>
          </c:tx>
          <c:spPr>
            <a:solidFill>
              <a:schemeClr val="accent1">
                <a:tint val="8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UC!$I$6:$I$20</c:f>
              <c:numCache>
                <c:formatCode>General</c:formatCode>
                <c:ptCount val="14"/>
                <c:pt idx="0">
                  <c:v>0</c:v>
                </c:pt>
                <c:pt idx="2">
                  <c:v>0.12</c:v>
                </c:pt>
                <c:pt idx="7">
                  <c:v>0.42</c:v>
                </c:pt>
                <c:pt idx="8">
                  <c:v>1.2000000000000002</c:v>
                </c:pt>
                <c:pt idx="9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A-B825-4369-89CB-2F95D47B574F}"/>
            </c:ext>
          </c:extLst>
        </c:ser>
        <c:ser>
          <c:idx val="8"/>
          <c:order val="8"/>
          <c:tx>
            <c:strRef>
              <c:f>UC!$J$4:$J$5</c:f>
              <c:strCache>
                <c:ptCount val="1"/>
                <c:pt idx="0">
                  <c:v>UC 305x305x97</c:v>
                </c:pt>
              </c:strCache>
            </c:strRef>
          </c:tx>
          <c:spPr>
            <a:solidFill>
              <a:schemeClr val="accent1">
                <a:tint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UC!$J$6:$J$20</c:f>
              <c:numCache>
                <c:formatCode>General</c:formatCode>
                <c:ptCount val="14"/>
                <c:pt idx="5">
                  <c:v>0.246</c:v>
                </c:pt>
                <c:pt idx="7">
                  <c:v>1.2053999999999998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B-B825-4369-89CB-2F95D47B574F}"/>
            </c:ext>
          </c:extLst>
        </c:ser>
        <c:ser>
          <c:idx val="9"/>
          <c:order val="9"/>
          <c:tx>
            <c:strRef>
              <c:f>UC!$K$4:$K$5</c:f>
              <c:strCache>
                <c:ptCount val="1"/>
                <c:pt idx="0">
                  <c:v>UC 305x305x137</c:v>
                </c:pt>
              </c:strCache>
            </c:strRef>
          </c:tx>
          <c:spPr>
            <a:solidFill>
              <a:schemeClr val="accent1">
                <a:tint val="9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UC!$K$6:$K$20</c:f>
              <c:numCache>
                <c:formatCode>General</c:formatCode>
                <c:ptCount val="14"/>
                <c:pt idx="0">
                  <c:v>0</c:v>
                </c:pt>
                <c:pt idx="2">
                  <c:v>0.13919999999999999</c:v>
                </c:pt>
                <c:pt idx="6">
                  <c:v>0.10439999999999999</c:v>
                </c:pt>
                <c:pt idx="7">
                  <c:v>1.5833999999999997</c:v>
                </c:pt>
                <c:pt idx="8">
                  <c:v>1.1135999999999999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C-B825-4369-89CB-2F95D47B574F}"/>
            </c:ext>
          </c:extLst>
        </c:ser>
        <c:ser>
          <c:idx val="10"/>
          <c:order val="10"/>
          <c:tx>
            <c:strRef>
              <c:f>UC!$L$4:$L$5</c:f>
              <c:strCache>
                <c:ptCount val="1"/>
                <c:pt idx="0">
                  <c:v>UC 254x254x89</c:v>
                </c:pt>
              </c:strCache>
            </c:strRef>
          </c:tx>
          <c:spPr>
            <a:solidFill>
              <a:schemeClr val="accent1">
                <a:shade val="9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UC!$L$6:$L$20</c:f>
              <c:numCache>
                <c:formatCode>General</c:formatCode>
                <c:ptCount val="14"/>
                <c:pt idx="1">
                  <c:v>2.2599999999999999E-2</c:v>
                </c:pt>
                <c:pt idx="3">
                  <c:v>0.27119999999999994</c:v>
                </c:pt>
                <c:pt idx="4">
                  <c:v>4.5199999999999997E-2</c:v>
                </c:pt>
                <c:pt idx="6">
                  <c:v>0.2712</c:v>
                </c:pt>
                <c:pt idx="7">
                  <c:v>0.63279999999999992</c:v>
                </c:pt>
                <c:pt idx="8">
                  <c:v>0.18079999999999999</c:v>
                </c:pt>
                <c:pt idx="9">
                  <c:v>0.40679999999999999</c:v>
                </c:pt>
                <c:pt idx="12">
                  <c:v>0.1356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D-B825-4369-89CB-2F95D47B574F}"/>
            </c:ext>
          </c:extLst>
        </c:ser>
        <c:ser>
          <c:idx val="11"/>
          <c:order val="11"/>
          <c:tx>
            <c:strRef>
              <c:f>UC!$M$4:$M$5</c:f>
              <c:strCache>
                <c:ptCount val="1"/>
                <c:pt idx="0">
                  <c:v>UC 203x203x86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UC!$M$6:$M$20</c:f>
              <c:numCache>
                <c:formatCode>General</c:formatCode>
                <c:ptCount val="14"/>
                <c:pt idx="0">
                  <c:v>0</c:v>
                </c:pt>
                <c:pt idx="1">
                  <c:v>3.3000000000000002E-2</c:v>
                </c:pt>
                <c:pt idx="2">
                  <c:v>0.10999999999999999</c:v>
                </c:pt>
                <c:pt idx="3">
                  <c:v>0.13200000000000001</c:v>
                </c:pt>
                <c:pt idx="4">
                  <c:v>4.3999999999999997E-2</c:v>
                </c:pt>
                <c:pt idx="6">
                  <c:v>6.6000000000000003E-2</c:v>
                </c:pt>
                <c:pt idx="8">
                  <c:v>0.17599999999999999</c:v>
                </c:pt>
                <c:pt idx="9">
                  <c:v>0.39599999999999996</c:v>
                </c:pt>
                <c:pt idx="10">
                  <c:v>0.54999999999999993</c:v>
                </c:pt>
                <c:pt idx="11">
                  <c:v>0.24199999999999999</c:v>
                </c:pt>
                <c:pt idx="12">
                  <c:v>1.056</c:v>
                </c:pt>
                <c:pt idx="13">
                  <c:v>0.28599999999999998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E-B825-4369-89CB-2F95D47B574F}"/>
            </c:ext>
          </c:extLst>
        </c:ser>
        <c:ser>
          <c:idx val="12"/>
          <c:order val="12"/>
          <c:tx>
            <c:strRef>
              <c:f>UC!$N$4:$N$5</c:f>
              <c:strCache>
                <c:ptCount val="1"/>
                <c:pt idx="0">
                  <c:v>UC 254x254x167</c:v>
                </c:pt>
              </c:strCache>
            </c:strRef>
          </c:tx>
          <c:spPr>
            <a:solidFill>
              <a:schemeClr val="accent1">
                <a:shade val="8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UC!$N$6:$N$20</c:f>
              <c:numCache>
                <c:formatCode>General</c:formatCode>
                <c:ptCount val="14"/>
                <c:pt idx="7">
                  <c:v>0.44730000000000003</c:v>
                </c:pt>
                <c:pt idx="8">
                  <c:v>3.0671999999999988</c:v>
                </c:pt>
                <c:pt idx="9">
                  <c:v>0.76679999999999993</c:v>
                </c:pt>
                <c:pt idx="12">
                  <c:v>0.25559999999999999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F-B825-4369-89CB-2F95D47B574F}"/>
            </c:ext>
          </c:extLst>
        </c:ser>
        <c:ser>
          <c:idx val="13"/>
          <c:order val="13"/>
          <c:tx>
            <c:strRef>
              <c:f>UC!$O$4:$O$5</c:f>
              <c:strCache>
                <c:ptCount val="1"/>
                <c:pt idx="0">
                  <c:v>UC 254x254x132</c:v>
                </c:pt>
              </c:strCache>
            </c:strRef>
          </c:tx>
          <c:spPr>
            <a:solidFill>
              <a:schemeClr val="accent1">
                <a:shade val="7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UC!$O$6:$O$20</c:f>
              <c:numCache>
                <c:formatCode>General</c:formatCode>
                <c:ptCount val="14"/>
                <c:pt idx="3">
                  <c:v>5.04E-2</c:v>
                </c:pt>
                <c:pt idx="6">
                  <c:v>0.1008</c:v>
                </c:pt>
                <c:pt idx="7">
                  <c:v>1.1759999999999999</c:v>
                </c:pt>
                <c:pt idx="8">
                  <c:v>0.94079999999999986</c:v>
                </c:pt>
                <c:pt idx="9">
                  <c:v>0.6048</c:v>
                </c:pt>
                <c:pt idx="11">
                  <c:v>0.18479999999999999</c:v>
                </c:pt>
                <c:pt idx="12">
                  <c:v>0.2016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0-B825-4369-89CB-2F95D47B574F}"/>
            </c:ext>
          </c:extLst>
        </c:ser>
        <c:ser>
          <c:idx val="14"/>
          <c:order val="14"/>
          <c:tx>
            <c:strRef>
              <c:f>UC!$P$4:$P$5</c:f>
              <c:strCache>
                <c:ptCount val="1"/>
                <c:pt idx="0">
                  <c:v>UC 203x203x52</c:v>
                </c:pt>
              </c:strCache>
            </c:strRef>
          </c:tx>
          <c:spPr>
            <a:solidFill>
              <a:schemeClr val="accent1">
                <a:shade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UC!$P$6:$P$20</c:f>
              <c:numCache>
                <c:formatCode>General</c:formatCode>
                <c:ptCount val="14"/>
                <c:pt idx="0">
                  <c:v>0</c:v>
                </c:pt>
                <c:pt idx="1">
                  <c:v>5.8700000000000002E-3</c:v>
                </c:pt>
                <c:pt idx="2">
                  <c:v>1.174E-2</c:v>
                </c:pt>
                <c:pt idx="3">
                  <c:v>0.29937000000000014</c:v>
                </c:pt>
                <c:pt idx="4">
                  <c:v>0.18784000000000001</c:v>
                </c:pt>
                <c:pt idx="5">
                  <c:v>2.9350000000000001E-2</c:v>
                </c:pt>
                <c:pt idx="8">
                  <c:v>4.6960000000000002E-2</c:v>
                </c:pt>
                <c:pt idx="11">
                  <c:v>6.4570000000000002E-2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0-4D17-933E-0F182F4E97DB}"/>
            </c:ext>
          </c:extLst>
        </c:ser>
        <c:ser>
          <c:idx val="15"/>
          <c:order val="15"/>
          <c:tx>
            <c:strRef>
              <c:f>UC!$Q$4:$Q$5</c:f>
              <c:strCache>
                <c:ptCount val="1"/>
                <c:pt idx="0">
                  <c:v>UC 356x406x551</c:v>
                </c:pt>
              </c:strCache>
            </c:strRef>
          </c:tx>
          <c:spPr>
            <a:solidFill>
              <a:schemeClr val="accent1">
                <a:shade val="6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UC!$Q$6:$Q$20</c:f>
              <c:numCache>
                <c:formatCode>General</c:formatCode>
                <c:ptCount val="14"/>
                <c:pt idx="5">
                  <c:v>0.35099999999999998</c:v>
                </c:pt>
                <c:pt idx="6">
                  <c:v>6.3179999999999978</c:v>
                </c:pt>
                <c:pt idx="7">
                  <c:v>5.8967999999999989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0-4D17-933E-0F182F4E97DB}"/>
            </c:ext>
          </c:extLst>
        </c:ser>
        <c:ser>
          <c:idx val="16"/>
          <c:order val="16"/>
          <c:tx>
            <c:strRef>
              <c:f>UC!$R$4:$R$5</c:f>
              <c:strCache>
                <c:ptCount val="1"/>
                <c:pt idx="0">
                  <c:v>UC 203x203x71</c:v>
                </c:pt>
              </c:strCache>
            </c:strRef>
          </c:tx>
          <c:spPr>
            <a:solidFill>
              <a:schemeClr val="accent1">
                <a:shade val="5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UC!$R$6:$R$20</c:f>
              <c:numCache>
                <c:formatCode>General</c:formatCode>
                <c:ptCount val="14"/>
                <c:pt idx="2">
                  <c:v>0.79551999999999945</c:v>
                </c:pt>
                <c:pt idx="3">
                  <c:v>0.2712</c:v>
                </c:pt>
                <c:pt idx="4">
                  <c:v>0.83167999999999953</c:v>
                </c:pt>
                <c:pt idx="6">
                  <c:v>0.10847999999999999</c:v>
                </c:pt>
                <c:pt idx="7">
                  <c:v>1.2023200000000001</c:v>
                </c:pt>
                <c:pt idx="11">
                  <c:v>0.89495999999999987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10-4D17-933E-0F182F4E97DB}"/>
            </c:ext>
          </c:extLst>
        </c:ser>
        <c:ser>
          <c:idx val="17"/>
          <c:order val="17"/>
          <c:tx>
            <c:strRef>
              <c:f>UC!$S$4:$S$5</c:f>
              <c:strCache>
                <c:ptCount val="1"/>
                <c:pt idx="0">
                  <c:v>UC 254x254x73</c:v>
                </c:pt>
              </c:strCache>
            </c:strRef>
          </c:tx>
          <c:spPr>
            <a:solidFill>
              <a:schemeClr val="accent1">
                <a:shade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UC!$S$6:$S$20</c:f>
              <c:numCache>
                <c:formatCode>General</c:formatCode>
                <c:ptCount val="14"/>
                <c:pt idx="2">
                  <c:v>1.8620000000000001E-2</c:v>
                </c:pt>
                <c:pt idx="3">
                  <c:v>8.3790000000000003E-2</c:v>
                </c:pt>
                <c:pt idx="6">
                  <c:v>0.33516000000000007</c:v>
                </c:pt>
                <c:pt idx="8">
                  <c:v>7.4480000000000005E-2</c:v>
                </c:pt>
                <c:pt idx="9">
                  <c:v>8.3790000000000003E-2</c:v>
                </c:pt>
                <c:pt idx="11">
                  <c:v>0.51205000000000001</c:v>
                </c:pt>
                <c:pt idx="12">
                  <c:v>0.11172000000000001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10-4D17-933E-0F182F4E97DB}"/>
            </c:ext>
          </c:extLst>
        </c:ser>
        <c:ser>
          <c:idx val="18"/>
          <c:order val="18"/>
          <c:tx>
            <c:strRef>
              <c:f>UC!$T$4:$T$5</c:f>
              <c:strCache>
                <c:ptCount val="1"/>
                <c:pt idx="0">
                  <c:v>UC 152x152x23</c:v>
                </c:pt>
              </c:strCache>
            </c:strRef>
          </c:tx>
          <c:spPr>
            <a:solidFill>
              <a:schemeClr val="accent1">
                <a:shade val="4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UC!$T$6:$T$20</c:f>
              <c:numCache>
                <c:formatCode>General</c:formatCode>
                <c:ptCount val="14"/>
                <c:pt idx="0">
                  <c:v>0</c:v>
                </c:pt>
                <c:pt idx="1">
                  <c:v>3.2119999999999996E-2</c:v>
                </c:pt>
                <c:pt idx="2">
                  <c:v>1.1679999999999999E-2</c:v>
                </c:pt>
                <c:pt idx="3">
                  <c:v>5.2560000000000009E-2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10-4D17-933E-0F182F4E97DB}"/>
            </c:ext>
          </c:extLst>
        </c:ser>
        <c:ser>
          <c:idx val="19"/>
          <c:order val="19"/>
          <c:tx>
            <c:strRef>
              <c:f>UC!$U$4:$U$5</c:f>
              <c:strCache>
                <c:ptCount val="1"/>
                <c:pt idx="0">
                  <c:v>UC 152x152x30</c:v>
                </c:pt>
              </c:strCache>
            </c:strRef>
          </c:tx>
          <c:spPr>
            <a:solidFill>
              <a:schemeClr val="accent1">
                <a:shade val="3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UC!$U$6:$U$20</c:f>
              <c:numCache>
                <c:formatCode>General</c:formatCode>
                <c:ptCount val="14"/>
                <c:pt idx="3">
                  <c:v>3.4470000000000001E-2</c:v>
                </c:pt>
                <c:pt idx="4">
                  <c:v>0.1532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10-4D17-933E-0F182F4E9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[Database_Graphs.xlsm]CHS!PivotTable5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CHS!$B$4:$B$5</c:f>
              <c:strCache>
                <c:ptCount val="1"/>
                <c:pt idx="0">
                  <c:v>CHS 114.3x3.6</c:v>
                </c:pt>
              </c:strCache>
            </c:strRef>
          </c:tx>
          <c:spPr>
            <a:solidFill>
              <a:schemeClr val="accent1">
                <a:tint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CHS!$A$6:$A$11</c:f>
              <c:strCache>
                <c:ptCount val="5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</c:strCache>
            </c:strRef>
          </c:cat>
          <c:val>
            <c:numRef>
              <c:f>CHS!$B$6:$B$11</c:f>
              <c:numCache>
                <c:formatCode>General</c:formatCode>
                <c:ptCount val="5"/>
                <c:pt idx="0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E6-4575-A767-65E1B6683F7E}"/>
            </c:ext>
          </c:extLst>
        </c:ser>
        <c:ser>
          <c:idx val="1"/>
          <c:order val="1"/>
          <c:tx>
            <c:strRef>
              <c:f>CHS!$C$4:$C$5</c:f>
              <c:strCache>
                <c:ptCount val="1"/>
                <c:pt idx="0">
                  <c:v>CHS 139.7x5.0</c:v>
                </c:pt>
              </c:strCache>
            </c:strRef>
          </c:tx>
          <c:spPr>
            <a:solidFill>
              <a:schemeClr val="accent1">
                <a:shade val="7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CHS!$A$6:$A$11</c:f>
              <c:strCache>
                <c:ptCount val="5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</c:strCache>
            </c:strRef>
          </c:cat>
          <c:val>
            <c:numRef>
              <c:f>CHS!$C$6:$C$11</c:f>
              <c:numCache>
                <c:formatCode>General</c:formatCode>
                <c:ptCount val="5"/>
                <c:pt idx="1">
                  <c:v>7.6319999999999985E-2</c:v>
                </c:pt>
                <c:pt idx="2">
                  <c:v>0.11871999999999996</c:v>
                </c:pt>
                <c:pt idx="3">
                  <c:v>3.3919999999999999E-2</c:v>
                </c:pt>
                <c:pt idx="4">
                  <c:v>3.8159999999999999E-2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E6-4575-A767-65E1B6683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[Database_Graphs.xlsm]SHS and RHS!PivotTable5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'SHS and RHS'!$B$4:$B$5</c:f>
              <c:strCache>
                <c:ptCount val="1"/>
                <c:pt idx="0">
                  <c:v>RHS 300x200x16.0</c:v>
                </c:pt>
              </c:strCache>
            </c:strRef>
          </c:tx>
          <c:spPr>
            <a:solidFill>
              <a:schemeClr val="accent1">
                <a:tint val="4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RHS'!$B$6:$B$15</c:f>
              <c:numCache>
                <c:formatCode>General</c:formatCode>
                <c:ptCount val="9"/>
                <c:pt idx="0">
                  <c:v>0</c:v>
                </c:pt>
                <c:pt idx="1">
                  <c:v>2.9399999999999999E-2</c:v>
                </c:pt>
                <c:pt idx="2">
                  <c:v>0.1764</c:v>
                </c:pt>
                <c:pt idx="3">
                  <c:v>5.8799999999999998E-2</c:v>
                </c:pt>
                <c:pt idx="4">
                  <c:v>7.3499999999999996E-2</c:v>
                </c:pt>
                <c:pt idx="5">
                  <c:v>0.3528</c:v>
                </c:pt>
                <c:pt idx="6">
                  <c:v>0.61739999999999995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98-4A4A-B050-423E4F3DE419}"/>
            </c:ext>
          </c:extLst>
        </c:ser>
        <c:ser>
          <c:idx val="1"/>
          <c:order val="1"/>
          <c:tx>
            <c:strRef>
              <c:f>'SHS and RHS'!$C$4:$C$5</c:f>
              <c:strCache>
                <c:ptCount val="1"/>
                <c:pt idx="0">
                  <c:v>SHS 200x200x12.5</c:v>
                </c:pt>
              </c:strCache>
            </c:strRef>
          </c:tx>
          <c:spPr>
            <a:solidFill>
              <a:schemeClr val="accent1">
                <a:tint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RHS'!$C$6:$C$15</c:f>
              <c:numCache>
                <c:formatCode>General</c:formatCode>
                <c:ptCount val="9"/>
                <c:pt idx="2">
                  <c:v>2.7629999999999998E-2</c:v>
                </c:pt>
                <c:pt idx="3">
                  <c:v>0.29471999999999993</c:v>
                </c:pt>
                <c:pt idx="4">
                  <c:v>1.0131000000000001</c:v>
                </c:pt>
                <c:pt idx="5">
                  <c:v>1.2157199999999999</c:v>
                </c:pt>
                <c:pt idx="6">
                  <c:v>0.51576000000000011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98-4A4A-B050-423E4F3DE419}"/>
            </c:ext>
          </c:extLst>
        </c:ser>
        <c:ser>
          <c:idx val="2"/>
          <c:order val="2"/>
          <c:tx>
            <c:strRef>
              <c:f>'SHS and RHS'!$D$4:$D$5</c:f>
              <c:strCache>
                <c:ptCount val="1"/>
                <c:pt idx="0">
                  <c:v>SHS 200x200x16.0</c:v>
                </c:pt>
              </c:strCache>
            </c:strRef>
          </c:tx>
          <c:spPr>
            <a:solidFill>
              <a:schemeClr val="accent1">
                <a:tint val="8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RHS'!$D$6:$D$15</c:f>
              <c:numCache>
                <c:formatCode>General</c:formatCode>
                <c:ptCount val="9"/>
                <c:pt idx="3">
                  <c:v>0.36799999999999994</c:v>
                </c:pt>
                <c:pt idx="4">
                  <c:v>0.45999999999999996</c:v>
                </c:pt>
                <c:pt idx="6">
                  <c:v>0.161</c:v>
                </c:pt>
                <c:pt idx="7">
                  <c:v>1.8400000000000005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98-4A4A-B050-423E4F3DE419}"/>
            </c:ext>
          </c:extLst>
        </c:ser>
        <c:ser>
          <c:idx val="3"/>
          <c:order val="3"/>
          <c:tx>
            <c:strRef>
              <c:f>'SHS and RHS'!$E$4:$E$5</c:f>
              <c:strCache>
                <c:ptCount val="1"/>
                <c:pt idx="0">
                  <c:v>SHS 180x180x12.5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RHS'!$E$6:$E$15</c:f>
              <c:numCache>
                <c:formatCode>General</c:formatCode>
                <c:ptCount val="9"/>
                <c:pt idx="4">
                  <c:v>1.9293500000000012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598-4A4A-B050-423E4F3DE419}"/>
            </c:ext>
          </c:extLst>
        </c:ser>
        <c:ser>
          <c:idx val="4"/>
          <c:order val="4"/>
          <c:tx>
            <c:strRef>
              <c:f>'SHS and RHS'!$F$4:$F$5</c:f>
              <c:strCache>
                <c:ptCount val="1"/>
                <c:pt idx="0">
                  <c:v>SHS 180x180x8.0</c:v>
                </c:pt>
              </c:strCache>
            </c:strRef>
          </c:tx>
          <c:spPr>
            <a:solidFill>
              <a:schemeClr val="accent1">
                <a:shade val="8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RHS'!$F$6:$F$15</c:f>
              <c:numCache>
                <c:formatCode>General</c:formatCode>
                <c:ptCount val="9"/>
                <c:pt idx="4">
                  <c:v>1.0336000000000003</c:v>
                </c:pt>
                <c:pt idx="5">
                  <c:v>6.5280000000000005E-2</c:v>
                </c:pt>
                <c:pt idx="7">
                  <c:v>0.34816000000000003</c:v>
                </c:pt>
                <c:pt idx="8">
                  <c:v>0.19584000000000001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598-4A4A-B050-423E4F3DE419}"/>
            </c:ext>
          </c:extLst>
        </c:ser>
        <c:ser>
          <c:idx val="5"/>
          <c:order val="5"/>
          <c:tx>
            <c:strRef>
              <c:f>'SHS and RHS'!$G$4:$G$5</c:f>
              <c:strCache>
                <c:ptCount val="1"/>
                <c:pt idx="0">
                  <c:v>SHS 180x180x10.0</c:v>
                </c:pt>
              </c:strCache>
            </c:strRef>
          </c:tx>
          <c:spPr>
            <a:solidFill>
              <a:schemeClr val="accent1">
                <a:shade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RHS'!$G$6:$G$15</c:f>
              <c:numCache>
                <c:formatCode>General</c:formatCode>
                <c:ptCount val="9"/>
                <c:pt idx="3">
                  <c:v>0.42816000000000004</c:v>
                </c:pt>
                <c:pt idx="4">
                  <c:v>1.0034999999999996</c:v>
                </c:pt>
                <c:pt idx="5">
                  <c:v>0.60209999999999997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98-4A4A-B050-423E4F3DE419}"/>
            </c:ext>
          </c:extLst>
        </c:ser>
        <c:ser>
          <c:idx val="6"/>
          <c:order val="6"/>
          <c:tx>
            <c:strRef>
              <c:f>'SHS and RHS'!$H$4:$H$5</c:f>
              <c:strCache>
                <c:ptCount val="1"/>
                <c:pt idx="0">
                  <c:v>SHS 200x200x10.0</c:v>
                </c:pt>
              </c:strCache>
            </c:strRef>
          </c:tx>
          <c:spPr>
            <a:solidFill>
              <a:schemeClr val="accent1">
                <a:shade val="4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RHS'!$H$6:$H$15</c:f>
              <c:numCache>
                <c:formatCode>General</c:formatCode>
                <c:ptCount val="9"/>
                <c:pt idx="3">
                  <c:v>0.47935999999999984</c:v>
                </c:pt>
                <c:pt idx="4">
                  <c:v>0.97369999999999968</c:v>
                </c:pt>
                <c:pt idx="5">
                  <c:v>0.89879999999999971</c:v>
                </c:pt>
                <c:pt idx="7">
                  <c:v>5.9920000000000001E-2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598-4A4A-B050-423E4F3DE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[Database_Graphs.xlsm]RHS!PivotTable5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/>
              <a:t>RHS</a:t>
            </a:r>
            <a:r>
              <a:rPr lang="en-GB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RHS!$B$4:$B$5</c:f>
              <c:strCache>
                <c:ptCount val="1"/>
                <c:pt idx="0">
                  <c:v>RHS 300x200x16.0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RHS!$A$6:$A$13</c:f>
              <c:strCache>
                <c:ptCount val="7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RHS!$B$6:$B$13</c:f>
              <c:numCache>
                <c:formatCode>General</c:formatCode>
                <c:ptCount val="7"/>
                <c:pt idx="0">
                  <c:v>0</c:v>
                </c:pt>
                <c:pt idx="1">
                  <c:v>2.9399999999999999E-2</c:v>
                </c:pt>
                <c:pt idx="2">
                  <c:v>0.1764</c:v>
                </c:pt>
                <c:pt idx="3">
                  <c:v>5.8799999999999998E-2</c:v>
                </c:pt>
                <c:pt idx="4">
                  <c:v>7.3499999999999996E-2</c:v>
                </c:pt>
                <c:pt idx="5">
                  <c:v>0.3528</c:v>
                </c:pt>
                <c:pt idx="6">
                  <c:v>0.61739999999999995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13-4D63-A004-B246BFF32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[Database_Graphs.xlsm]PFC and FB!PivotTable5</c:name>
    <c:fmtId val="5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'PFC and FB'!$B$4:$B$5</c:f>
              <c:strCache>
                <c:ptCount val="1"/>
                <c:pt idx="0">
                  <c:v>RSC 254x76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FB'!$B$6:$B$11</c:f>
              <c:numCache>
                <c:formatCode>General</c:formatCode>
                <c:ptCount val="5"/>
                <c:pt idx="3">
                  <c:v>0.29484000000000005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A-40D2-9AB7-A0910EC749FF}"/>
            </c:ext>
          </c:extLst>
        </c:ser>
        <c:ser>
          <c:idx val="1"/>
          <c:order val="1"/>
          <c:tx>
            <c:strRef>
              <c:f>'PFC and FB'!$C$4:$C$5</c:f>
              <c:strCache>
                <c:ptCount val="1"/>
                <c:pt idx="0">
                  <c:v>RSC 432x102</c:v>
                </c:pt>
              </c:strCache>
            </c:strRef>
          </c:tx>
          <c:spPr>
            <a:solidFill>
              <a:schemeClr val="accent1">
                <a:tint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FB'!$C$6:$C$11</c:f>
              <c:numCache>
                <c:formatCode>General</c:formatCode>
                <c:ptCount val="5"/>
                <c:pt idx="4">
                  <c:v>1.3792799999999996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E7-4E42-B651-D888BF2002AD}"/>
            </c:ext>
          </c:extLst>
        </c:ser>
        <c:ser>
          <c:idx val="2"/>
          <c:order val="2"/>
          <c:tx>
            <c:strRef>
              <c:f>'PFC and FB'!$D$4:$D$5</c:f>
              <c:strCache>
                <c:ptCount val="1"/>
                <c:pt idx="0">
                  <c:v>RSC 305x89</c:v>
                </c:pt>
              </c:strCache>
            </c:strRef>
          </c:tx>
          <c:spPr>
            <a:solidFill>
              <a:schemeClr val="accent1">
                <a:tint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FB'!$D$6:$D$11</c:f>
              <c:numCache>
                <c:formatCode>General</c:formatCode>
                <c:ptCount val="5"/>
                <c:pt idx="0">
                  <c:v>0</c:v>
                </c:pt>
                <c:pt idx="4">
                  <c:v>0.8853599999999997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E7-4E42-B651-D888BF2002AD}"/>
            </c:ext>
          </c:extLst>
        </c:ser>
        <c:ser>
          <c:idx val="3"/>
          <c:order val="3"/>
          <c:tx>
            <c:strRef>
              <c:f>'PFC and FB'!$E$4:$E$5</c:f>
              <c:strCache>
                <c:ptCount val="1"/>
                <c:pt idx="0">
                  <c:v>RSC 178x76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FB'!$E$6:$E$11</c:f>
              <c:numCache>
                <c:formatCode>General</c:formatCode>
                <c:ptCount val="5"/>
                <c:pt idx="0">
                  <c:v>0</c:v>
                </c:pt>
                <c:pt idx="1">
                  <c:v>1.554E-2</c:v>
                </c:pt>
                <c:pt idx="2">
                  <c:v>6.2159999999999986E-2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E7-4E42-B651-D888BF2002AD}"/>
            </c:ext>
          </c:extLst>
        </c:ser>
        <c:ser>
          <c:idx val="4"/>
          <c:order val="4"/>
          <c:tx>
            <c:strRef>
              <c:f>'PFC and FB'!$F$4:$F$5</c:f>
              <c:strCache>
                <c:ptCount val="1"/>
                <c:pt idx="0">
                  <c:v>RSC 152x76</c:v>
                </c:pt>
              </c:strCache>
            </c:strRef>
          </c:tx>
          <c:spPr>
            <a:solidFill>
              <a:schemeClr val="accent1">
                <a:shade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FB'!$F$6:$F$11</c:f>
              <c:numCache>
                <c:formatCode>General</c:formatCode>
                <c:ptCount val="5"/>
                <c:pt idx="0">
                  <c:v>0</c:v>
                </c:pt>
                <c:pt idx="1">
                  <c:v>0.12768000000000007</c:v>
                </c:pt>
                <c:pt idx="2">
                  <c:v>1.8239999999999999E-2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E7-4E42-B651-D888BF2002AD}"/>
            </c:ext>
          </c:extLst>
        </c:ser>
        <c:ser>
          <c:idx val="5"/>
          <c:order val="5"/>
          <c:tx>
            <c:strRef>
              <c:f>'PFC and FB'!$G$4:$G$5</c:f>
              <c:strCache>
                <c:ptCount val="1"/>
                <c:pt idx="0">
                  <c:v>RSC 152x89</c:v>
                </c:pt>
              </c:strCache>
            </c:strRef>
          </c:tx>
          <c:spPr>
            <a:solidFill>
              <a:schemeClr val="accent1">
                <a:shade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FB'!$G$6:$G$11</c:f>
              <c:numCache>
                <c:formatCode>General</c:formatCode>
                <c:ptCount val="5"/>
                <c:pt idx="0">
                  <c:v>0</c:v>
                </c:pt>
                <c:pt idx="1">
                  <c:v>1.5200000000000002E-2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48-4BB6-B29E-656A3810B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[Database_Graphs.xlsm]UB!PivotTable5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UB!$B$4:$B$5</c:f>
              <c:strCache>
                <c:ptCount val="1"/>
                <c:pt idx="0">
                  <c:v>UB 406x178x74</c:v>
                </c:pt>
              </c:strCache>
            </c:strRef>
          </c:tx>
          <c:spPr>
            <a:solidFill>
              <a:schemeClr val="accent1">
                <a:tint val="3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UB!$B$6:$B$18</c:f>
              <c:numCache>
                <c:formatCode>General</c:formatCode>
                <c:ptCount val="12"/>
                <c:pt idx="3">
                  <c:v>0.1134</c:v>
                </c:pt>
                <c:pt idx="4">
                  <c:v>0.1134</c:v>
                </c:pt>
                <c:pt idx="5">
                  <c:v>4.725E-2</c:v>
                </c:pt>
                <c:pt idx="6">
                  <c:v>0.2268</c:v>
                </c:pt>
                <c:pt idx="7">
                  <c:v>1.8521999999999994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01-44EC-A109-CDC55C32BE7B}"/>
            </c:ext>
          </c:extLst>
        </c:ser>
        <c:ser>
          <c:idx val="1"/>
          <c:order val="1"/>
          <c:tx>
            <c:strRef>
              <c:f>UB!$C$4:$C$5</c:f>
              <c:strCache>
                <c:ptCount val="1"/>
                <c:pt idx="0">
                  <c:v>UB 305x127x48</c:v>
                </c:pt>
              </c:strCache>
            </c:strRef>
          </c:tx>
          <c:spPr>
            <a:solidFill>
              <a:schemeClr val="accent1">
                <a:tint val="3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UB!$C$6:$C$18</c:f>
              <c:numCache>
                <c:formatCode>General</c:formatCode>
                <c:ptCount val="12"/>
                <c:pt idx="2">
                  <c:v>1.2239999999999999E-2</c:v>
                </c:pt>
                <c:pt idx="3">
                  <c:v>7.3439999999999991E-2</c:v>
                </c:pt>
                <c:pt idx="7">
                  <c:v>1.02816</c:v>
                </c:pt>
                <c:pt idx="8">
                  <c:v>4.8959999999999997E-2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E001-44EC-A109-CDC55C32BE7B}"/>
            </c:ext>
          </c:extLst>
        </c:ser>
        <c:ser>
          <c:idx val="2"/>
          <c:order val="2"/>
          <c:tx>
            <c:strRef>
              <c:f>UB!$D$4:$D$5</c:f>
              <c:strCache>
                <c:ptCount val="1"/>
                <c:pt idx="0">
                  <c:v>UB 254x146x31</c:v>
                </c:pt>
              </c:strCache>
            </c:strRef>
          </c:tx>
          <c:spPr>
            <a:solidFill>
              <a:schemeClr val="accent1">
                <a:tint val="4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UB!$D$6:$D$18</c:f>
              <c:numCache>
                <c:formatCode>General</c:formatCode>
                <c:ptCount val="12"/>
                <c:pt idx="0">
                  <c:v>0</c:v>
                </c:pt>
                <c:pt idx="1">
                  <c:v>3.5730000000000005E-2</c:v>
                </c:pt>
                <c:pt idx="2">
                  <c:v>3.9699999999999999E-2</c:v>
                </c:pt>
                <c:pt idx="3">
                  <c:v>0.20247000000000004</c:v>
                </c:pt>
                <c:pt idx="4">
                  <c:v>7.9399999999999998E-2</c:v>
                </c:pt>
                <c:pt idx="5">
                  <c:v>0.23820000000000005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E001-44EC-A109-CDC55C32BE7B}"/>
            </c:ext>
          </c:extLst>
        </c:ser>
        <c:ser>
          <c:idx val="3"/>
          <c:order val="3"/>
          <c:tx>
            <c:strRef>
              <c:f>UB!$E$4:$E$5</c:f>
              <c:strCache>
                <c:ptCount val="1"/>
                <c:pt idx="0">
                  <c:v>UB 203x133x25</c:v>
                </c:pt>
              </c:strCache>
            </c:strRef>
          </c:tx>
          <c:spPr>
            <a:solidFill>
              <a:schemeClr val="accent1">
                <a:tint val="4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UB!$E$6:$E$18</c:f>
              <c:numCache>
                <c:formatCode>General</c:formatCode>
                <c:ptCount val="12"/>
                <c:pt idx="0">
                  <c:v>0</c:v>
                </c:pt>
                <c:pt idx="1">
                  <c:v>1.9200000000000002E-2</c:v>
                </c:pt>
                <c:pt idx="2">
                  <c:v>1.2800000000000001E-2</c:v>
                </c:pt>
                <c:pt idx="3">
                  <c:v>1.9200000000000002E-2</c:v>
                </c:pt>
                <c:pt idx="4">
                  <c:v>8.9600000000000013E-2</c:v>
                </c:pt>
                <c:pt idx="5">
                  <c:v>1.6E-2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E001-44EC-A109-CDC55C32BE7B}"/>
            </c:ext>
          </c:extLst>
        </c:ser>
        <c:ser>
          <c:idx val="4"/>
          <c:order val="4"/>
          <c:tx>
            <c:strRef>
              <c:f>UB!$F$4:$F$5</c:f>
              <c:strCache>
                <c:ptCount val="1"/>
                <c:pt idx="0">
                  <c:v>UB 305x165x54</c:v>
                </c:pt>
              </c:strCache>
            </c:strRef>
          </c:tx>
          <c:spPr>
            <a:solidFill>
              <a:schemeClr val="accent1">
                <a:tint val="4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UB!$F$6:$F$18</c:f>
              <c:numCache>
                <c:formatCode>General</c:formatCode>
                <c:ptCount val="12"/>
                <c:pt idx="1">
                  <c:v>2.0639999999999999E-2</c:v>
                </c:pt>
                <c:pt idx="2">
                  <c:v>1.376E-2</c:v>
                </c:pt>
                <c:pt idx="3">
                  <c:v>0.16511999999999996</c:v>
                </c:pt>
                <c:pt idx="4">
                  <c:v>8.2559999999999995E-2</c:v>
                </c:pt>
                <c:pt idx="5">
                  <c:v>3.44E-2</c:v>
                </c:pt>
                <c:pt idx="6">
                  <c:v>4.1279999999999997E-2</c:v>
                </c:pt>
                <c:pt idx="7">
                  <c:v>4.8160000000000001E-2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E001-44EC-A109-CDC55C32BE7B}"/>
            </c:ext>
          </c:extLst>
        </c:ser>
        <c:ser>
          <c:idx val="5"/>
          <c:order val="5"/>
          <c:tx>
            <c:strRef>
              <c:f>UB!$G$4:$G$5</c:f>
              <c:strCache>
                <c:ptCount val="1"/>
                <c:pt idx="0">
                  <c:v>UB 254x146x43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UB!$G$6:$G$18</c:f>
              <c:numCache>
                <c:formatCode>General</c:formatCode>
                <c:ptCount val="12"/>
                <c:pt idx="1">
                  <c:v>5.4799999999999996E-3</c:v>
                </c:pt>
                <c:pt idx="2">
                  <c:v>2.1919999999999999E-2</c:v>
                </c:pt>
                <c:pt idx="3">
                  <c:v>1.644E-2</c:v>
                </c:pt>
                <c:pt idx="4">
                  <c:v>8.7679999999999994E-2</c:v>
                </c:pt>
                <c:pt idx="5">
                  <c:v>5.4799999999999995E-2</c:v>
                </c:pt>
                <c:pt idx="7">
                  <c:v>7.6719999999999997E-2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E001-44EC-A109-CDC55C32BE7B}"/>
            </c:ext>
          </c:extLst>
        </c:ser>
        <c:ser>
          <c:idx val="6"/>
          <c:order val="6"/>
          <c:tx>
            <c:strRef>
              <c:f>UB!$H$4:$H$5</c:f>
              <c:strCache>
                <c:ptCount val="1"/>
                <c:pt idx="0">
                  <c:v>UB 457x191x98</c:v>
                </c:pt>
              </c:strCache>
            </c:strRef>
          </c:tx>
          <c:spPr>
            <a:solidFill>
              <a:schemeClr val="accent1">
                <a:tint val="5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UB!$H$6:$H$18</c:f>
              <c:numCache>
                <c:formatCode>General</c:formatCode>
                <c:ptCount val="12"/>
                <c:pt idx="2">
                  <c:v>0.15</c:v>
                </c:pt>
                <c:pt idx="4">
                  <c:v>0.05</c:v>
                </c:pt>
                <c:pt idx="5">
                  <c:v>6.25E-2</c:v>
                </c:pt>
                <c:pt idx="6">
                  <c:v>7.5000000000000011E-2</c:v>
                </c:pt>
                <c:pt idx="7">
                  <c:v>0.26250000000000001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E001-44EC-A109-CDC55C32BE7B}"/>
            </c:ext>
          </c:extLst>
        </c:ser>
        <c:ser>
          <c:idx val="7"/>
          <c:order val="7"/>
          <c:tx>
            <c:strRef>
              <c:f>UB!$I$4:$I$5</c:f>
              <c:strCache>
                <c:ptCount val="1"/>
                <c:pt idx="0">
                  <c:v>UB 305x127x42</c:v>
                </c:pt>
              </c:strCache>
            </c:strRef>
          </c:tx>
          <c:spPr>
            <a:solidFill>
              <a:schemeClr val="accent1">
                <a:tint val="5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UB!$I$6:$I$18</c:f>
              <c:numCache>
                <c:formatCode>General</c:formatCode>
                <c:ptCount val="12"/>
                <c:pt idx="1">
                  <c:v>1.068E-2</c:v>
                </c:pt>
                <c:pt idx="2">
                  <c:v>1.068E-2</c:v>
                </c:pt>
                <c:pt idx="3">
                  <c:v>0.12816000000000002</c:v>
                </c:pt>
                <c:pt idx="6">
                  <c:v>6.4079999999999998E-2</c:v>
                </c:pt>
                <c:pt idx="7">
                  <c:v>7.4760000000000007E-2</c:v>
                </c:pt>
                <c:pt idx="8">
                  <c:v>0.12816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E001-44EC-A109-CDC55C32BE7B}"/>
            </c:ext>
          </c:extLst>
        </c:ser>
        <c:ser>
          <c:idx val="8"/>
          <c:order val="8"/>
          <c:tx>
            <c:strRef>
              <c:f>UB!$J$4:$J$5</c:f>
              <c:strCache>
                <c:ptCount val="1"/>
                <c:pt idx="0">
                  <c:v>UB 356x171x57</c:v>
                </c:pt>
              </c:strCache>
            </c:strRef>
          </c:tx>
          <c:spPr>
            <a:solidFill>
              <a:schemeClr val="accent1">
                <a:tint val="5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UB!$J$6:$J$18</c:f>
              <c:numCache>
                <c:formatCode>General</c:formatCode>
                <c:ptCount val="12"/>
                <c:pt idx="0">
                  <c:v>0</c:v>
                </c:pt>
                <c:pt idx="2">
                  <c:v>1.452E-2</c:v>
                </c:pt>
                <c:pt idx="3">
                  <c:v>6.5340000000000009E-2</c:v>
                </c:pt>
                <c:pt idx="4">
                  <c:v>0.1452</c:v>
                </c:pt>
                <c:pt idx="5">
                  <c:v>3.6299999999999999E-2</c:v>
                </c:pt>
                <c:pt idx="6">
                  <c:v>8.7120000000000003E-2</c:v>
                </c:pt>
                <c:pt idx="7">
                  <c:v>2.0328000000000013</c:v>
                </c:pt>
                <c:pt idx="8">
                  <c:v>0.11616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E001-44EC-A109-CDC55C32BE7B}"/>
            </c:ext>
          </c:extLst>
        </c:ser>
        <c:ser>
          <c:idx val="9"/>
          <c:order val="9"/>
          <c:tx>
            <c:strRef>
              <c:f>UB!$K$4:$K$5</c:f>
              <c:strCache>
                <c:ptCount val="1"/>
                <c:pt idx="0">
                  <c:v>UB 305x165x46</c:v>
                </c:pt>
              </c:strCache>
            </c:strRef>
          </c:tx>
          <c:spPr>
            <a:solidFill>
              <a:schemeClr val="accent1">
                <a:tint val="6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UB!$K$6:$K$18</c:f>
              <c:numCache>
                <c:formatCode>General</c:formatCode>
                <c:ptCount val="12"/>
                <c:pt idx="2">
                  <c:v>3.5220000000000001E-2</c:v>
                </c:pt>
                <c:pt idx="3">
                  <c:v>3.5220000000000001E-2</c:v>
                </c:pt>
                <c:pt idx="4">
                  <c:v>7.0440000000000003E-2</c:v>
                </c:pt>
                <c:pt idx="7">
                  <c:v>1.0272499999999998</c:v>
                </c:pt>
                <c:pt idx="8">
                  <c:v>0.51656000000000002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E001-44EC-A109-CDC55C32BE7B}"/>
            </c:ext>
          </c:extLst>
        </c:ser>
        <c:ser>
          <c:idx val="10"/>
          <c:order val="10"/>
          <c:tx>
            <c:strRef>
              <c:f>UB!$L$4:$L$5</c:f>
              <c:strCache>
                <c:ptCount val="1"/>
                <c:pt idx="0">
                  <c:v>UB 356x171x67</c:v>
                </c:pt>
              </c:strCache>
            </c:strRef>
          </c:tx>
          <c:spPr>
            <a:solidFill>
              <a:schemeClr val="accent1">
                <a:tint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UB!$L$6:$L$18</c:f>
              <c:numCache>
                <c:formatCode>General</c:formatCode>
                <c:ptCount val="12"/>
                <c:pt idx="1">
                  <c:v>1.7100000000000001E-2</c:v>
                </c:pt>
                <c:pt idx="2">
                  <c:v>3.4200000000000001E-2</c:v>
                </c:pt>
                <c:pt idx="3">
                  <c:v>0.12825</c:v>
                </c:pt>
                <c:pt idx="6">
                  <c:v>5.1299999999999998E-2</c:v>
                </c:pt>
                <c:pt idx="7">
                  <c:v>0.71819999999999995</c:v>
                </c:pt>
                <c:pt idx="8">
                  <c:v>0.1368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E001-44EC-A109-CDC55C32BE7B}"/>
            </c:ext>
          </c:extLst>
        </c:ser>
        <c:ser>
          <c:idx val="11"/>
          <c:order val="11"/>
          <c:tx>
            <c:strRef>
              <c:f>UB!$M$4:$M$5</c:f>
              <c:strCache>
                <c:ptCount val="1"/>
                <c:pt idx="0">
                  <c:v>UB 356x127x39</c:v>
                </c:pt>
              </c:strCache>
            </c:strRef>
          </c:tx>
          <c:spPr>
            <a:solidFill>
              <a:schemeClr val="accent1">
                <a:tint val="6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UB!$M$6:$M$18</c:f>
              <c:numCache>
                <c:formatCode>General</c:formatCode>
                <c:ptCount val="12"/>
                <c:pt idx="0">
                  <c:v>0</c:v>
                </c:pt>
                <c:pt idx="1">
                  <c:v>8.9639999999999984E-2</c:v>
                </c:pt>
                <c:pt idx="2">
                  <c:v>0.26891999999999999</c:v>
                </c:pt>
                <c:pt idx="3">
                  <c:v>0.47808000000000017</c:v>
                </c:pt>
                <c:pt idx="4">
                  <c:v>0.61752000000000018</c:v>
                </c:pt>
                <c:pt idx="5">
                  <c:v>0.1245</c:v>
                </c:pt>
                <c:pt idx="6">
                  <c:v>0.80676000000000025</c:v>
                </c:pt>
                <c:pt idx="7">
                  <c:v>6.6931200000000182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E001-44EC-A109-CDC55C32BE7B}"/>
            </c:ext>
          </c:extLst>
        </c:ser>
        <c:ser>
          <c:idx val="12"/>
          <c:order val="12"/>
          <c:tx>
            <c:strRef>
              <c:f>UB!$N$4:$N$5</c:f>
              <c:strCache>
                <c:ptCount val="1"/>
                <c:pt idx="0">
                  <c:v>UB 533x210x122</c:v>
                </c:pt>
              </c:strCache>
            </c:strRef>
          </c:tx>
          <c:spPr>
            <a:solidFill>
              <a:schemeClr val="accent1">
                <a:tint val="7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UB!$N$6:$N$18</c:f>
              <c:numCache>
                <c:formatCode>General</c:formatCode>
                <c:ptCount val="12"/>
                <c:pt idx="2">
                  <c:v>0.124</c:v>
                </c:pt>
                <c:pt idx="3">
                  <c:v>0.32549999999999996</c:v>
                </c:pt>
                <c:pt idx="4">
                  <c:v>0.372</c:v>
                </c:pt>
                <c:pt idx="5">
                  <c:v>1.1624999999999999</c:v>
                </c:pt>
                <c:pt idx="6">
                  <c:v>1.2089999999999999</c:v>
                </c:pt>
                <c:pt idx="7">
                  <c:v>4.2314999999999978</c:v>
                </c:pt>
                <c:pt idx="8">
                  <c:v>0.248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E001-44EC-A109-CDC55C32BE7B}"/>
            </c:ext>
          </c:extLst>
        </c:ser>
        <c:ser>
          <c:idx val="13"/>
          <c:order val="13"/>
          <c:tx>
            <c:strRef>
              <c:f>UB!$O$4:$O$5</c:f>
              <c:strCache>
                <c:ptCount val="1"/>
                <c:pt idx="0">
                  <c:v>UB 254x102x22</c:v>
                </c:pt>
              </c:strCache>
            </c:strRef>
          </c:tx>
          <c:spPr>
            <a:solidFill>
              <a:schemeClr val="accent1">
                <a:tint val="7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UB!$O$6:$O$18</c:f>
              <c:numCache>
                <c:formatCode>General</c:formatCode>
                <c:ptCount val="12"/>
                <c:pt idx="0">
                  <c:v>0</c:v>
                </c:pt>
                <c:pt idx="1">
                  <c:v>0.5376000000000023</c:v>
                </c:pt>
                <c:pt idx="2">
                  <c:v>2.3632000000000017</c:v>
                </c:pt>
                <c:pt idx="3">
                  <c:v>2.5871999999999913</c:v>
                </c:pt>
                <c:pt idx="4">
                  <c:v>0.44799999999999968</c:v>
                </c:pt>
                <c:pt idx="5">
                  <c:v>0.60200000000000042</c:v>
                </c:pt>
                <c:pt idx="6">
                  <c:v>5.04E-2</c:v>
                </c:pt>
                <c:pt idx="7">
                  <c:v>7.8399999999999997E-2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E001-44EC-A109-CDC55C32BE7B}"/>
            </c:ext>
          </c:extLst>
        </c:ser>
        <c:ser>
          <c:idx val="14"/>
          <c:order val="14"/>
          <c:tx>
            <c:strRef>
              <c:f>UB!$P$4:$P$5</c:f>
              <c:strCache>
                <c:ptCount val="1"/>
                <c:pt idx="0">
                  <c:v>UB 356x171x45</c:v>
                </c:pt>
              </c:strCache>
            </c:strRef>
          </c:tx>
          <c:spPr>
            <a:solidFill>
              <a:schemeClr val="accent1">
                <a:tint val="7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UB!$P$6:$P$18</c:f>
              <c:numCache>
                <c:formatCode>General</c:formatCode>
                <c:ptCount val="12"/>
                <c:pt idx="1">
                  <c:v>5.7299999999999999E-3</c:v>
                </c:pt>
                <c:pt idx="2">
                  <c:v>2.2919999999999999E-2</c:v>
                </c:pt>
                <c:pt idx="3">
                  <c:v>5.1570000000000005E-2</c:v>
                </c:pt>
                <c:pt idx="4">
                  <c:v>9.1679999999999998E-2</c:v>
                </c:pt>
                <c:pt idx="5">
                  <c:v>0.11459999999999999</c:v>
                </c:pt>
                <c:pt idx="6">
                  <c:v>0.44694000000000011</c:v>
                </c:pt>
                <c:pt idx="7">
                  <c:v>0.64175999999999989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E001-44EC-A109-CDC55C32BE7B}"/>
            </c:ext>
          </c:extLst>
        </c:ser>
        <c:ser>
          <c:idx val="15"/>
          <c:order val="15"/>
          <c:tx>
            <c:strRef>
              <c:f>UB!$Q$4:$Q$5</c:f>
              <c:strCache>
                <c:ptCount val="1"/>
                <c:pt idx="0">
                  <c:v>UB 457x152x52</c:v>
                </c:pt>
              </c:strCache>
            </c:strRef>
          </c:tx>
          <c:spPr>
            <a:solidFill>
              <a:schemeClr val="accent1">
                <a:tint val="8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UB!$Q$6:$Q$18</c:f>
              <c:numCache>
                <c:formatCode>General</c:formatCode>
                <c:ptCount val="12"/>
                <c:pt idx="0">
                  <c:v>0</c:v>
                </c:pt>
                <c:pt idx="1">
                  <c:v>5.994E-2</c:v>
                </c:pt>
                <c:pt idx="2">
                  <c:v>5.3280000000000001E-2</c:v>
                </c:pt>
                <c:pt idx="3">
                  <c:v>0.47952</c:v>
                </c:pt>
                <c:pt idx="4">
                  <c:v>0.15984000000000001</c:v>
                </c:pt>
                <c:pt idx="6">
                  <c:v>0.31968000000000002</c:v>
                </c:pt>
                <c:pt idx="7">
                  <c:v>3.3566399999999987</c:v>
                </c:pt>
                <c:pt idx="9">
                  <c:v>0.11988</c:v>
                </c:pt>
                <c:pt idx="10">
                  <c:v>6.6600000000000006E-2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E001-44EC-A109-CDC55C32BE7B}"/>
            </c:ext>
          </c:extLst>
        </c:ser>
        <c:ser>
          <c:idx val="16"/>
          <c:order val="16"/>
          <c:tx>
            <c:strRef>
              <c:f>UB!$R$4:$R$5</c:f>
              <c:strCache>
                <c:ptCount val="1"/>
                <c:pt idx="0">
                  <c:v>UB 610x305x238</c:v>
                </c:pt>
              </c:strCache>
            </c:strRef>
          </c:tx>
          <c:spPr>
            <a:solidFill>
              <a:schemeClr val="accent1">
                <a:tint val="8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UB!$R$6:$R$18</c:f>
              <c:numCache>
                <c:formatCode>General</c:formatCode>
                <c:ptCount val="12"/>
                <c:pt idx="1">
                  <c:v>9.0900000000000009E-2</c:v>
                </c:pt>
                <c:pt idx="2">
                  <c:v>6.0600000000000001E-2</c:v>
                </c:pt>
                <c:pt idx="5">
                  <c:v>1.8179999999999998</c:v>
                </c:pt>
                <c:pt idx="6">
                  <c:v>0.72720000000000007</c:v>
                </c:pt>
                <c:pt idx="7">
                  <c:v>6.9993000000000052</c:v>
                </c:pt>
                <c:pt idx="8">
                  <c:v>1.212</c:v>
                </c:pt>
                <c:pt idx="9">
                  <c:v>1.3634999999999999</c:v>
                </c:pt>
                <c:pt idx="10">
                  <c:v>1.212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E001-44EC-A109-CDC55C32BE7B}"/>
            </c:ext>
          </c:extLst>
        </c:ser>
        <c:ser>
          <c:idx val="17"/>
          <c:order val="17"/>
          <c:tx>
            <c:strRef>
              <c:f>UB!$S$4:$S$5</c:f>
              <c:strCache>
                <c:ptCount val="1"/>
                <c:pt idx="0">
                  <c:v>UB 610x229x125</c:v>
                </c:pt>
              </c:strCache>
            </c:strRef>
          </c:tx>
          <c:spPr>
            <a:solidFill>
              <a:schemeClr val="accent1">
                <a:tint val="8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UB!$S$6:$S$18</c:f>
              <c:numCache>
                <c:formatCode>General</c:formatCode>
                <c:ptCount val="12"/>
                <c:pt idx="2">
                  <c:v>0.60420000000000018</c:v>
                </c:pt>
                <c:pt idx="3">
                  <c:v>0.19080000000000003</c:v>
                </c:pt>
                <c:pt idx="4">
                  <c:v>0.50880000000000003</c:v>
                </c:pt>
                <c:pt idx="6">
                  <c:v>0.28620000000000001</c:v>
                </c:pt>
                <c:pt idx="7">
                  <c:v>0.66779999999999995</c:v>
                </c:pt>
                <c:pt idx="8">
                  <c:v>0.12720000000000001</c:v>
                </c:pt>
                <c:pt idx="9">
                  <c:v>0.1431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E001-44EC-A109-CDC55C32BE7B}"/>
            </c:ext>
          </c:extLst>
        </c:ser>
        <c:ser>
          <c:idx val="18"/>
          <c:order val="18"/>
          <c:tx>
            <c:strRef>
              <c:f>UB!$T$4:$T$5</c:f>
              <c:strCache>
                <c:ptCount val="1"/>
                <c:pt idx="0">
                  <c:v>UB 610x229x140</c:v>
                </c:pt>
              </c:strCache>
            </c:strRef>
          </c:tx>
          <c:spPr>
            <a:solidFill>
              <a:schemeClr val="accent1">
                <a:tint val="9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UB!$T$6:$T$18</c:f>
              <c:numCache>
                <c:formatCode>General</c:formatCode>
                <c:ptCount val="12"/>
                <c:pt idx="1">
                  <c:v>3.56E-2</c:v>
                </c:pt>
                <c:pt idx="2">
                  <c:v>3.56E-2</c:v>
                </c:pt>
                <c:pt idx="4">
                  <c:v>7.1199999999999999E-2</c:v>
                </c:pt>
                <c:pt idx="5">
                  <c:v>8.8999999999999996E-2</c:v>
                </c:pt>
                <c:pt idx="6">
                  <c:v>0.10680000000000001</c:v>
                </c:pt>
                <c:pt idx="7">
                  <c:v>0.49840000000000001</c:v>
                </c:pt>
                <c:pt idx="8">
                  <c:v>0.1424</c:v>
                </c:pt>
                <c:pt idx="11">
                  <c:v>0.3916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E001-44EC-A109-CDC55C32BE7B}"/>
            </c:ext>
          </c:extLst>
        </c:ser>
        <c:ser>
          <c:idx val="19"/>
          <c:order val="19"/>
          <c:tx>
            <c:strRef>
              <c:f>UB!$U$4:$U$5</c:f>
              <c:strCache>
                <c:ptCount val="1"/>
                <c:pt idx="0">
                  <c:v>UB 610x229x101</c:v>
                </c:pt>
              </c:strCache>
            </c:strRef>
          </c:tx>
          <c:spPr>
            <a:solidFill>
              <a:schemeClr val="accent1">
                <a:tint val="9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UB!$U$6:$U$18</c:f>
              <c:numCache>
                <c:formatCode>General</c:formatCode>
                <c:ptCount val="12"/>
                <c:pt idx="1">
                  <c:v>1.29E-2</c:v>
                </c:pt>
                <c:pt idx="2">
                  <c:v>0.25799999999999995</c:v>
                </c:pt>
                <c:pt idx="4">
                  <c:v>0.82559999999999978</c:v>
                </c:pt>
                <c:pt idx="6">
                  <c:v>0.46440000000000003</c:v>
                </c:pt>
                <c:pt idx="7">
                  <c:v>1.0836000000000003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E001-44EC-A109-CDC55C32BE7B}"/>
            </c:ext>
          </c:extLst>
        </c:ser>
        <c:ser>
          <c:idx val="20"/>
          <c:order val="20"/>
          <c:tx>
            <c:strRef>
              <c:f>UB!$V$4:$V$5</c:f>
              <c:strCache>
                <c:ptCount val="1"/>
                <c:pt idx="0">
                  <c:v>UB 457x152x67</c:v>
                </c:pt>
              </c:strCache>
            </c:strRef>
          </c:tx>
          <c:spPr>
            <a:solidFill>
              <a:schemeClr val="accent1">
                <a:tint val="9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UB!$V$6:$V$18</c:f>
              <c:numCache>
                <c:formatCode>General</c:formatCode>
                <c:ptCount val="12"/>
                <c:pt idx="1">
                  <c:v>8.5599999999999999E-3</c:v>
                </c:pt>
                <c:pt idx="3">
                  <c:v>2.5680000000000001E-2</c:v>
                </c:pt>
                <c:pt idx="4">
                  <c:v>6.8479999999999999E-2</c:v>
                </c:pt>
                <c:pt idx="5">
                  <c:v>0.25679999999999997</c:v>
                </c:pt>
                <c:pt idx="6">
                  <c:v>0.15407999999999999</c:v>
                </c:pt>
                <c:pt idx="7">
                  <c:v>0.35951999999999995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E001-44EC-A109-CDC55C32BE7B}"/>
            </c:ext>
          </c:extLst>
        </c:ser>
        <c:ser>
          <c:idx val="21"/>
          <c:order val="21"/>
          <c:tx>
            <c:strRef>
              <c:f>UB!$W$4:$W$5</c:f>
              <c:strCache>
                <c:ptCount val="1"/>
                <c:pt idx="0">
                  <c:v>UB 457x152x82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UB!$W$6:$W$18</c:f>
              <c:numCache>
                <c:formatCode>General</c:formatCode>
                <c:ptCount val="12"/>
                <c:pt idx="2">
                  <c:v>2.1000000000000001E-2</c:v>
                </c:pt>
                <c:pt idx="3">
                  <c:v>6.3E-2</c:v>
                </c:pt>
                <c:pt idx="4">
                  <c:v>4.2000000000000003E-2</c:v>
                </c:pt>
                <c:pt idx="5">
                  <c:v>5.2500000000000005E-2</c:v>
                </c:pt>
                <c:pt idx="7">
                  <c:v>0.51450000000000007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E001-44EC-A109-CDC55C32BE7B}"/>
            </c:ext>
          </c:extLst>
        </c:ser>
        <c:ser>
          <c:idx val="22"/>
          <c:order val="22"/>
          <c:tx>
            <c:strRef>
              <c:f>UB!$X$4:$X$5</c:f>
              <c:strCache>
                <c:ptCount val="1"/>
                <c:pt idx="0">
                  <c:v>UB 356x171x51</c:v>
                </c:pt>
              </c:strCache>
            </c:strRef>
          </c:tx>
          <c:spPr>
            <a:solidFill>
              <a:schemeClr val="accent1">
                <a:shade val="9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UB!$X$6:$X$18</c:f>
              <c:numCache>
                <c:formatCode>General</c:formatCode>
                <c:ptCount val="12"/>
                <c:pt idx="3">
                  <c:v>1.9470000000000001E-2</c:v>
                </c:pt>
                <c:pt idx="4">
                  <c:v>5.1920000000000001E-2</c:v>
                </c:pt>
                <c:pt idx="5">
                  <c:v>0.38939999999999991</c:v>
                </c:pt>
                <c:pt idx="7">
                  <c:v>0.63601999999999981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E001-44EC-A109-CDC55C32BE7B}"/>
            </c:ext>
          </c:extLst>
        </c:ser>
        <c:ser>
          <c:idx val="23"/>
          <c:order val="23"/>
          <c:tx>
            <c:strRef>
              <c:f>UB!$Y$4:$Y$5</c:f>
              <c:strCache>
                <c:ptCount val="1"/>
                <c:pt idx="0">
                  <c:v>UB 305x102x28</c:v>
                </c:pt>
              </c:strCache>
            </c:strRef>
          </c:tx>
          <c:spPr>
            <a:solidFill>
              <a:schemeClr val="accent1">
                <a:shade val="9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UB!$Y$6:$Y$18</c:f>
              <c:numCache>
                <c:formatCode>General</c:formatCode>
                <c:ptCount val="12"/>
                <c:pt idx="0">
                  <c:v>0</c:v>
                </c:pt>
                <c:pt idx="1">
                  <c:v>1.7950000000000001E-2</c:v>
                </c:pt>
                <c:pt idx="3">
                  <c:v>2.154E-2</c:v>
                </c:pt>
                <c:pt idx="4">
                  <c:v>0.17232000000000003</c:v>
                </c:pt>
                <c:pt idx="5">
                  <c:v>1.1846999999999999</c:v>
                </c:pt>
                <c:pt idx="6">
                  <c:v>0.19386</c:v>
                </c:pt>
                <c:pt idx="7">
                  <c:v>0.40207999999999983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E001-44EC-A109-CDC55C32BE7B}"/>
            </c:ext>
          </c:extLst>
        </c:ser>
        <c:ser>
          <c:idx val="24"/>
          <c:order val="24"/>
          <c:tx>
            <c:strRef>
              <c:f>UB!$Z$4:$Z$5</c:f>
              <c:strCache>
                <c:ptCount val="1"/>
                <c:pt idx="0">
                  <c:v>UB 533x210x92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UB!$Z$6:$Z$18</c:f>
              <c:numCache>
                <c:formatCode>General</c:formatCode>
                <c:ptCount val="12"/>
                <c:pt idx="0">
                  <c:v>0</c:v>
                </c:pt>
                <c:pt idx="1">
                  <c:v>3.5099999999999999E-2</c:v>
                </c:pt>
                <c:pt idx="4">
                  <c:v>9.3600000000000003E-2</c:v>
                </c:pt>
                <c:pt idx="5">
                  <c:v>5.8500000000000003E-2</c:v>
                </c:pt>
                <c:pt idx="7">
                  <c:v>1.1465999999999998</c:v>
                </c:pt>
                <c:pt idx="8">
                  <c:v>0.6552</c:v>
                </c:pt>
                <c:pt idx="10">
                  <c:v>0.11700000000000001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E001-44EC-A109-CDC55C32BE7B}"/>
            </c:ext>
          </c:extLst>
        </c:ser>
        <c:ser>
          <c:idx val="25"/>
          <c:order val="25"/>
          <c:tx>
            <c:strRef>
              <c:f>UB!$AA$4:$AA$5</c:f>
              <c:strCache>
                <c:ptCount val="1"/>
                <c:pt idx="0">
                  <c:v>UB 254x102x25</c:v>
                </c:pt>
              </c:strCache>
            </c:strRef>
          </c:tx>
          <c:spPr>
            <a:solidFill>
              <a:schemeClr val="accent1">
                <a:shade val="8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UB!$AA$6:$AA$18</c:f>
              <c:numCache>
                <c:formatCode>General</c:formatCode>
                <c:ptCount val="12"/>
                <c:pt idx="0">
                  <c:v>0</c:v>
                </c:pt>
                <c:pt idx="1">
                  <c:v>9.6000000000000009E-3</c:v>
                </c:pt>
                <c:pt idx="2">
                  <c:v>6.4000000000000003E-3</c:v>
                </c:pt>
                <c:pt idx="3">
                  <c:v>0.22079999999999997</c:v>
                </c:pt>
                <c:pt idx="4">
                  <c:v>6.4000000000000001E-2</c:v>
                </c:pt>
                <c:pt idx="5">
                  <c:v>1.6E-2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E001-44EC-A109-CDC55C32BE7B}"/>
            </c:ext>
          </c:extLst>
        </c:ser>
        <c:ser>
          <c:idx val="26"/>
          <c:order val="26"/>
          <c:tx>
            <c:strRef>
              <c:f>UB!$AB$4:$AB$5</c:f>
              <c:strCache>
                <c:ptCount val="1"/>
                <c:pt idx="0">
                  <c:v>UB 305x102x33</c:v>
                </c:pt>
              </c:strCache>
            </c:strRef>
          </c:tx>
          <c:spPr>
            <a:solidFill>
              <a:schemeClr val="accent1">
                <a:shade val="8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UB!$AB$6:$AB$18</c:f>
              <c:numCache>
                <c:formatCode>General</c:formatCode>
                <c:ptCount val="12"/>
                <c:pt idx="1">
                  <c:v>3.3439999999999998E-2</c:v>
                </c:pt>
                <c:pt idx="2">
                  <c:v>9.1960000000000014E-2</c:v>
                </c:pt>
                <c:pt idx="3">
                  <c:v>0.13793999999999998</c:v>
                </c:pt>
                <c:pt idx="4">
                  <c:v>1.6719999999999999E-2</c:v>
                </c:pt>
                <c:pt idx="5">
                  <c:v>0.18809999999999999</c:v>
                </c:pt>
                <c:pt idx="6">
                  <c:v>2.0565599999999997</c:v>
                </c:pt>
                <c:pt idx="7">
                  <c:v>5.3545799999999835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E001-44EC-A109-CDC55C32BE7B}"/>
            </c:ext>
          </c:extLst>
        </c:ser>
        <c:ser>
          <c:idx val="27"/>
          <c:order val="27"/>
          <c:tx>
            <c:strRef>
              <c:f>UB!$AC$4:$AC$5</c:f>
              <c:strCache>
                <c:ptCount val="1"/>
                <c:pt idx="0">
                  <c:v>UB 356x127x33</c:v>
                </c:pt>
              </c:strCache>
            </c:strRef>
          </c:tx>
          <c:spPr>
            <a:solidFill>
              <a:schemeClr val="accent1">
                <a:shade val="8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UB!$AC$6:$AC$18</c:f>
              <c:numCache>
                <c:formatCode>General</c:formatCode>
                <c:ptCount val="12"/>
                <c:pt idx="2">
                  <c:v>4.2099999999999999E-2</c:v>
                </c:pt>
                <c:pt idx="3">
                  <c:v>2.5260000000000001E-2</c:v>
                </c:pt>
                <c:pt idx="4">
                  <c:v>6.7360000000000003E-2</c:v>
                </c:pt>
                <c:pt idx="5">
                  <c:v>4.2099999999999999E-2</c:v>
                </c:pt>
                <c:pt idx="6">
                  <c:v>2.5260000000000001E-2</c:v>
                </c:pt>
                <c:pt idx="7">
                  <c:v>0.79569000000000001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E001-44EC-A109-CDC55C32BE7B}"/>
            </c:ext>
          </c:extLst>
        </c:ser>
        <c:ser>
          <c:idx val="28"/>
          <c:order val="28"/>
          <c:tx>
            <c:strRef>
              <c:f>UB!$AD$4:$AD$5</c:f>
              <c:strCache>
                <c:ptCount val="1"/>
                <c:pt idx="0">
                  <c:v>UB 533x210x82</c:v>
                </c:pt>
              </c:strCache>
            </c:strRef>
          </c:tx>
          <c:spPr>
            <a:solidFill>
              <a:schemeClr val="accent1">
                <a:shade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UB!$AD$6:$AD$18</c:f>
              <c:numCache>
                <c:formatCode>General</c:formatCode>
                <c:ptCount val="12"/>
                <c:pt idx="3">
                  <c:v>0.1575</c:v>
                </c:pt>
                <c:pt idx="4">
                  <c:v>4.2000000000000003E-2</c:v>
                </c:pt>
                <c:pt idx="5">
                  <c:v>0.26250000000000001</c:v>
                </c:pt>
                <c:pt idx="6">
                  <c:v>0.56699999999999995</c:v>
                </c:pt>
                <c:pt idx="7">
                  <c:v>0.80850000000000011</c:v>
                </c:pt>
                <c:pt idx="8">
                  <c:v>0.33600000000000002</c:v>
                </c:pt>
                <c:pt idx="9">
                  <c:v>0.189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E001-44EC-A109-CDC55C32BE7B}"/>
            </c:ext>
          </c:extLst>
        </c:ser>
        <c:ser>
          <c:idx val="29"/>
          <c:order val="29"/>
          <c:tx>
            <c:strRef>
              <c:f>UB!$AE$4:$AE$5</c:f>
              <c:strCache>
                <c:ptCount val="1"/>
                <c:pt idx="0">
                  <c:v>UB 457x152x74</c:v>
                </c:pt>
              </c:strCache>
            </c:strRef>
          </c:tx>
          <c:spPr>
            <a:solidFill>
              <a:schemeClr val="accent1">
                <a:shade val="7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UB!$AE$6:$AE$18</c:f>
              <c:numCache>
                <c:formatCode>General</c:formatCode>
                <c:ptCount val="12"/>
                <c:pt idx="1">
                  <c:v>9.4500000000000001E-3</c:v>
                </c:pt>
                <c:pt idx="5">
                  <c:v>0.14174999999999999</c:v>
                </c:pt>
                <c:pt idx="6">
                  <c:v>0.2268</c:v>
                </c:pt>
                <c:pt idx="7">
                  <c:v>0.2646</c:v>
                </c:pt>
                <c:pt idx="9">
                  <c:v>0.1701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F9-4AAF-8656-34DFE7EA95FB}"/>
            </c:ext>
          </c:extLst>
        </c:ser>
        <c:ser>
          <c:idx val="30"/>
          <c:order val="30"/>
          <c:tx>
            <c:strRef>
              <c:f>UB!$AF$4:$AF$5</c:f>
              <c:strCache>
                <c:ptCount val="1"/>
                <c:pt idx="0">
                  <c:v>UB 254x102x28</c:v>
                </c:pt>
              </c:strCache>
            </c:strRef>
          </c:tx>
          <c:spPr>
            <a:solidFill>
              <a:schemeClr val="accent1">
                <a:shade val="7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UB!$AF$6:$AF$18</c:f>
              <c:numCache>
                <c:formatCode>General</c:formatCode>
                <c:ptCount val="12"/>
                <c:pt idx="0">
                  <c:v>0</c:v>
                </c:pt>
                <c:pt idx="1">
                  <c:v>0.12996000000000005</c:v>
                </c:pt>
                <c:pt idx="2">
                  <c:v>0.32490000000000013</c:v>
                </c:pt>
                <c:pt idx="3">
                  <c:v>0.40071000000000018</c:v>
                </c:pt>
                <c:pt idx="4">
                  <c:v>5.7759999999999999E-2</c:v>
                </c:pt>
                <c:pt idx="6">
                  <c:v>4.3319999999999997E-2</c:v>
                </c:pt>
                <c:pt idx="7">
                  <c:v>2.5270000000000001E-2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F9-4AAF-8656-34DFE7EA95FB}"/>
            </c:ext>
          </c:extLst>
        </c:ser>
        <c:ser>
          <c:idx val="31"/>
          <c:order val="31"/>
          <c:tx>
            <c:strRef>
              <c:f>UB!$AG$4:$AG$5</c:f>
              <c:strCache>
                <c:ptCount val="1"/>
                <c:pt idx="0">
                  <c:v>UB 457x191x74</c:v>
                </c:pt>
              </c:strCache>
            </c:strRef>
          </c:tx>
          <c:spPr>
            <a:solidFill>
              <a:schemeClr val="accent1">
                <a:shade val="6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UB!$AG$6:$AG$18</c:f>
              <c:numCache>
                <c:formatCode>General</c:formatCode>
                <c:ptCount val="12"/>
                <c:pt idx="2">
                  <c:v>1.8919999999999999E-2</c:v>
                </c:pt>
                <c:pt idx="3">
                  <c:v>0.22703999999999996</c:v>
                </c:pt>
                <c:pt idx="4">
                  <c:v>3.7839999999999999E-2</c:v>
                </c:pt>
                <c:pt idx="6">
                  <c:v>0.11352</c:v>
                </c:pt>
                <c:pt idx="7">
                  <c:v>0.46354000000000001</c:v>
                </c:pt>
                <c:pt idx="10">
                  <c:v>0.47299999999999998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F9-4AAF-8656-34DFE7EA95FB}"/>
            </c:ext>
          </c:extLst>
        </c:ser>
        <c:ser>
          <c:idx val="32"/>
          <c:order val="32"/>
          <c:tx>
            <c:strRef>
              <c:f>UB!$AH$4:$AH$5</c:f>
              <c:strCache>
                <c:ptCount val="1"/>
                <c:pt idx="0">
                  <c:v>UB 457x152x60</c:v>
                </c:pt>
              </c:strCache>
            </c:strRef>
          </c:tx>
          <c:spPr>
            <a:solidFill>
              <a:schemeClr val="accent1">
                <a:shade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UB!$AH$6:$AH$18</c:f>
              <c:numCache>
                <c:formatCode>General</c:formatCode>
                <c:ptCount val="12"/>
                <c:pt idx="2">
                  <c:v>6.096E-2</c:v>
                </c:pt>
                <c:pt idx="4">
                  <c:v>0.21336000000000002</c:v>
                </c:pt>
                <c:pt idx="5">
                  <c:v>0.45720000000000011</c:v>
                </c:pt>
                <c:pt idx="6">
                  <c:v>0.22859999999999997</c:v>
                </c:pt>
                <c:pt idx="7">
                  <c:v>3.4137599999999972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F9-4AAF-8656-34DFE7EA95FB}"/>
            </c:ext>
          </c:extLst>
        </c:ser>
        <c:ser>
          <c:idx val="33"/>
          <c:order val="33"/>
          <c:tx>
            <c:strRef>
              <c:f>UB!$AI$4:$AI$5</c:f>
              <c:strCache>
                <c:ptCount val="1"/>
                <c:pt idx="0">
                  <c:v>UB 305x102x25</c:v>
                </c:pt>
              </c:strCache>
            </c:strRef>
          </c:tx>
          <c:spPr>
            <a:solidFill>
              <a:schemeClr val="accent1">
                <a:shade val="6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UB!$AI$6:$AI$18</c:f>
              <c:numCache>
                <c:formatCode>General</c:formatCode>
                <c:ptCount val="12"/>
                <c:pt idx="0">
                  <c:v>0</c:v>
                </c:pt>
                <c:pt idx="1">
                  <c:v>3.16E-3</c:v>
                </c:pt>
                <c:pt idx="2">
                  <c:v>6.3200000000000001E-3</c:v>
                </c:pt>
                <c:pt idx="3">
                  <c:v>7.5840000000000005E-2</c:v>
                </c:pt>
                <c:pt idx="4">
                  <c:v>0.22752000000000011</c:v>
                </c:pt>
                <c:pt idx="5">
                  <c:v>0.316</c:v>
                </c:pt>
                <c:pt idx="6">
                  <c:v>7.5840000000000005E-2</c:v>
                </c:pt>
                <c:pt idx="7">
                  <c:v>0.1106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F9-4AAF-8656-34DFE7EA95FB}"/>
            </c:ext>
          </c:extLst>
        </c:ser>
        <c:ser>
          <c:idx val="34"/>
          <c:order val="34"/>
          <c:tx>
            <c:strRef>
              <c:f>UB!$AJ$4:$AJ$5</c:f>
              <c:strCache>
                <c:ptCount val="1"/>
                <c:pt idx="0">
                  <c:v>UB 406x140x46</c:v>
                </c:pt>
              </c:strCache>
            </c:strRef>
          </c:tx>
          <c:spPr>
            <a:solidFill>
              <a:schemeClr val="accent1">
                <a:shade val="5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UB!$AJ$6:$AJ$18</c:f>
              <c:numCache>
                <c:formatCode>General</c:formatCode>
                <c:ptCount val="12"/>
                <c:pt idx="1">
                  <c:v>5.8599999999999998E-3</c:v>
                </c:pt>
                <c:pt idx="2">
                  <c:v>9.3759999999999982E-2</c:v>
                </c:pt>
                <c:pt idx="3">
                  <c:v>0.22853999999999991</c:v>
                </c:pt>
                <c:pt idx="4">
                  <c:v>0.32816000000000001</c:v>
                </c:pt>
                <c:pt idx="7">
                  <c:v>0.41020000000000001</c:v>
                </c:pt>
                <c:pt idx="8">
                  <c:v>0.46879999999999988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8F9-4AAF-8656-34DFE7EA95FB}"/>
            </c:ext>
          </c:extLst>
        </c:ser>
        <c:ser>
          <c:idx val="35"/>
          <c:order val="35"/>
          <c:tx>
            <c:strRef>
              <c:f>UB!$AK$4:$AK$5</c:f>
              <c:strCache>
                <c:ptCount val="1"/>
                <c:pt idx="0">
                  <c:v>UB 406x140x39</c:v>
                </c:pt>
              </c:strCache>
            </c:strRef>
          </c:tx>
          <c:spPr>
            <a:solidFill>
              <a:schemeClr val="accent1">
                <a:shade val="5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UB!$AK$6:$AK$18</c:f>
              <c:numCache>
                <c:formatCode>General</c:formatCode>
                <c:ptCount val="12"/>
                <c:pt idx="1">
                  <c:v>9.9399999999999992E-3</c:v>
                </c:pt>
                <c:pt idx="2">
                  <c:v>9.9400000000000002E-2</c:v>
                </c:pt>
                <c:pt idx="3">
                  <c:v>0.46220999999999979</c:v>
                </c:pt>
                <c:pt idx="4">
                  <c:v>0.27832000000000001</c:v>
                </c:pt>
                <c:pt idx="6">
                  <c:v>0.11928</c:v>
                </c:pt>
                <c:pt idx="7">
                  <c:v>1.11328</c:v>
                </c:pt>
                <c:pt idx="8">
                  <c:v>0.79520000000000013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F9-4AAF-8656-34DFE7EA95FB}"/>
            </c:ext>
          </c:extLst>
        </c:ser>
        <c:ser>
          <c:idx val="36"/>
          <c:order val="36"/>
          <c:tx>
            <c:strRef>
              <c:f>UB!$AL$4:$AL$5</c:f>
              <c:strCache>
                <c:ptCount val="1"/>
                <c:pt idx="0">
                  <c:v>UB 533x210x101</c:v>
                </c:pt>
              </c:strCache>
            </c:strRef>
          </c:tx>
          <c:spPr>
            <a:solidFill>
              <a:schemeClr val="accent1">
                <a:shade val="5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UB!$AL$6:$AL$18</c:f>
              <c:numCache>
                <c:formatCode>General</c:formatCode>
                <c:ptCount val="12"/>
                <c:pt idx="4">
                  <c:v>0.25800000000000001</c:v>
                </c:pt>
                <c:pt idx="5">
                  <c:v>0.45150000000000001</c:v>
                </c:pt>
                <c:pt idx="7">
                  <c:v>1.2642000000000004</c:v>
                </c:pt>
                <c:pt idx="8">
                  <c:v>0.1032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F9-4AAF-8656-34DFE7EA95FB}"/>
            </c:ext>
          </c:extLst>
        </c:ser>
        <c:ser>
          <c:idx val="37"/>
          <c:order val="37"/>
          <c:tx>
            <c:strRef>
              <c:f>UB!$AM$4:$AM$5</c:f>
              <c:strCache>
                <c:ptCount val="1"/>
                <c:pt idx="0">
                  <c:v>UB 203x133x30</c:v>
                </c:pt>
              </c:strCache>
            </c:strRef>
          </c:tx>
          <c:spPr>
            <a:solidFill>
              <a:schemeClr val="accent1">
                <a:shade val="4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UB!$AM$6:$AM$18</c:f>
              <c:numCache>
                <c:formatCode>General</c:formatCode>
                <c:ptCount val="12"/>
                <c:pt idx="1">
                  <c:v>3.4380000000000001E-2</c:v>
                </c:pt>
                <c:pt idx="2">
                  <c:v>3.056E-2</c:v>
                </c:pt>
                <c:pt idx="3">
                  <c:v>1.146E-2</c:v>
                </c:pt>
                <c:pt idx="5">
                  <c:v>3.8199999999999998E-2</c:v>
                </c:pt>
                <c:pt idx="7">
                  <c:v>5.348E-2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F9-4AAF-8656-34DFE7EA95FB}"/>
            </c:ext>
          </c:extLst>
        </c:ser>
        <c:ser>
          <c:idx val="38"/>
          <c:order val="38"/>
          <c:tx>
            <c:strRef>
              <c:f>UB!$AN$4:$AN$5</c:f>
              <c:strCache>
                <c:ptCount val="1"/>
                <c:pt idx="0">
                  <c:v>UB 406x178x67</c:v>
                </c:pt>
              </c:strCache>
            </c:strRef>
          </c:tx>
          <c:spPr>
            <a:solidFill>
              <a:schemeClr val="accent1">
                <a:shade val="4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UB!$AN$6:$AN$18</c:f>
              <c:numCache>
                <c:formatCode>General</c:formatCode>
                <c:ptCount val="12"/>
                <c:pt idx="3">
                  <c:v>0.17955000000000002</c:v>
                </c:pt>
                <c:pt idx="5">
                  <c:v>4.2750000000000003E-2</c:v>
                </c:pt>
                <c:pt idx="6">
                  <c:v>0.1026</c:v>
                </c:pt>
                <c:pt idx="7">
                  <c:v>0.41895000000000004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8F9-4AAF-8656-34DFE7EA95FB}"/>
            </c:ext>
          </c:extLst>
        </c:ser>
        <c:ser>
          <c:idx val="39"/>
          <c:order val="39"/>
          <c:tx>
            <c:strRef>
              <c:f>UB!$AO$4:$AO$5</c:f>
              <c:strCache>
                <c:ptCount val="1"/>
                <c:pt idx="0">
                  <c:v>UB 457x191x82</c:v>
                </c:pt>
              </c:strCache>
            </c:strRef>
          </c:tx>
          <c:spPr>
            <a:solidFill>
              <a:schemeClr val="accent1">
                <a:shade val="4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UB!$AO$6:$AO$18</c:f>
              <c:numCache>
                <c:formatCode>General</c:formatCode>
                <c:ptCount val="12"/>
                <c:pt idx="3">
                  <c:v>3.1199999999999999E-2</c:v>
                </c:pt>
                <c:pt idx="6">
                  <c:v>6.2399999999999997E-2</c:v>
                </c:pt>
                <c:pt idx="7">
                  <c:v>0.65519999999999989</c:v>
                </c:pt>
                <c:pt idx="8">
                  <c:v>0.91519999999999979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F9-4AAF-8656-34DFE7EA95FB}"/>
            </c:ext>
          </c:extLst>
        </c:ser>
        <c:ser>
          <c:idx val="40"/>
          <c:order val="40"/>
          <c:tx>
            <c:strRef>
              <c:f>UB!$AP$4:$AP$5</c:f>
              <c:strCache>
                <c:ptCount val="1"/>
                <c:pt idx="0">
                  <c:v>UB 686x254x125</c:v>
                </c:pt>
              </c:strCache>
            </c:strRef>
          </c:tx>
          <c:spPr>
            <a:solidFill>
              <a:schemeClr val="accent1">
                <a:shade val="3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UB!$AP$6:$AP$18</c:f>
              <c:numCache>
                <c:formatCode>General</c:formatCode>
                <c:ptCount val="12"/>
                <c:pt idx="7">
                  <c:v>0.11130000000000001</c:v>
                </c:pt>
                <c:pt idx="9">
                  <c:v>1.5741000000000001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8F9-4AAF-8656-34DFE7EA95FB}"/>
            </c:ext>
          </c:extLst>
        </c:ser>
        <c:ser>
          <c:idx val="41"/>
          <c:order val="41"/>
          <c:tx>
            <c:strRef>
              <c:f>UB!$AQ$4:$AQ$5</c:f>
              <c:strCache>
                <c:ptCount val="1"/>
                <c:pt idx="0">
                  <c:v>UB 406x178x54</c:v>
                </c:pt>
              </c:strCache>
            </c:strRef>
          </c:tx>
          <c:spPr>
            <a:solidFill>
              <a:schemeClr val="accent1">
                <a:shade val="3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UB!$AQ$6:$AQ$18</c:f>
              <c:numCache>
                <c:formatCode>General</c:formatCode>
                <c:ptCount val="12"/>
                <c:pt idx="7">
                  <c:v>0.62790000000000001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F9-4AAF-8656-34DFE7EA95FB}"/>
            </c:ext>
          </c:extLst>
        </c:ser>
        <c:ser>
          <c:idx val="42"/>
          <c:order val="42"/>
          <c:tx>
            <c:strRef>
              <c:f>UB!$AR$4:$AR$5</c:f>
              <c:strCache>
                <c:ptCount val="1"/>
                <c:pt idx="0">
                  <c:v>UB 406x178x60</c:v>
                </c:pt>
              </c:strCache>
            </c:strRef>
          </c:tx>
          <c:spPr>
            <a:solidFill>
              <a:schemeClr val="accent1">
                <a:shade val="3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UB!$AR$6:$AR$18</c:f>
              <c:numCache>
                <c:formatCode>General</c:formatCode>
                <c:ptCount val="12"/>
                <c:pt idx="4">
                  <c:v>3.0599999999999999E-2</c:v>
                </c:pt>
                <c:pt idx="5">
                  <c:v>0.11474999999999999</c:v>
                </c:pt>
                <c:pt idx="7">
                  <c:v>0.64259999999999995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F9-4308-9354-9CCD9081D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166686</xdr:rowOff>
    </xdr:from>
    <xdr:to>
      <xdr:col>7</xdr:col>
      <xdr:colOff>0</xdr:colOff>
      <xdr:row>26</xdr:row>
      <xdr:rowOff>166686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27</xdr:row>
      <xdr:rowOff>1</xdr:rowOff>
    </xdr:from>
    <xdr:to>
      <xdr:col>7</xdr:col>
      <xdr:colOff>1</xdr:colOff>
      <xdr:row>40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</xdr:colOff>
      <xdr:row>40</xdr:row>
      <xdr:rowOff>0</xdr:rowOff>
    </xdr:from>
    <xdr:to>
      <xdr:col>7</xdr:col>
      <xdr:colOff>1</xdr:colOff>
      <xdr:row>52</xdr:row>
      <xdr:rowOff>145286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Refresh Tables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293370</xdr:colOff>
      <xdr:row>0</xdr:row>
      <xdr:rowOff>21227</xdr:rowOff>
    </xdr:from>
    <xdr:to>
      <xdr:col>32</xdr:col>
      <xdr:colOff>293370</xdr:colOff>
      <xdr:row>18</xdr:row>
      <xdr:rowOff>15846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293370</xdr:colOff>
      <xdr:row>0</xdr:row>
      <xdr:rowOff>22798</xdr:rowOff>
    </xdr:from>
    <xdr:to>
      <xdr:col>19</xdr:col>
      <xdr:colOff>293371</xdr:colOff>
      <xdr:row>18</xdr:row>
      <xdr:rowOff>21227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293371</xdr:colOff>
      <xdr:row>0</xdr:row>
      <xdr:rowOff>21227</xdr:rowOff>
    </xdr:from>
    <xdr:to>
      <xdr:col>45</xdr:col>
      <xdr:colOff>0</xdr:colOff>
      <xdr:row>18</xdr:row>
      <xdr:rowOff>15846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283844</xdr:colOff>
      <xdr:row>17</xdr:row>
      <xdr:rowOff>174624</xdr:rowOff>
    </xdr:from>
    <xdr:to>
      <xdr:col>26</xdr:col>
      <xdr:colOff>136084</xdr:colOff>
      <xdr:row>52</xdr:row>
      <xdr:rowOff>142499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120547</xdr:colOff>
      <xdr:row>18</xdr:row>
      <xdr:rowOff>793</xdr:rowOff>
    </xdr:from>
    <xdr:to>
      <xdr:col>45</xdr:col>
      <xdr:colOff>-1</xdr:colOff>
      <xdr:row>52</xdr:row>
      <xdr:rowOff>142499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15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0</xdr:row>
      <xdr:rowOff>1</xdr:rowOff>
    </xdr:from>
    <xdr:to>
      <xdr:col>20</xdr:col>
      <xdr:colOff>0</xdr:colOff>
      <xdr:row>15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30</xdr:row>
      <xdr:rowOff>-1</xdr:rowOff>
    </xdr:from>
    <xdr:to>
      <xdr:col>20</xdr:col>
      <xdr:colOff>0</xdr:colOff>
      <xdr:row>45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2</xdr:row>
      <xdr:rowOff>19050</xdr:rowOff>
    </xdr:from>
    <xdr:to>
      <xdr:col>12</xdr:col>
      <xdr:colOff>542925</xdr:colOff>
      <xdr:row>42</xdr:row>
      <xdr:rowOff>104776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4</xdr:row>
      <xdr:rowOff>76199</xdr:rowOff>
    </xdr:from>
    <xdr:to>
      <xdr:col>14</xdr:col>
      <xdr:colOff>285750</xdr:colOff>
      <xdr:row>44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4</xdr:row>
      <xdr:rowOff>76199</xdr:rowOff>
    </xdr:from>
    <xdr:to>
      <xdr:col>14</xdr:col>
      <xdr:colOff>285750</xdr:colOff>
      <xdr:row>44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1</xdr:row>
      <xdr:rowOff>0</xdr:rowOff>
    </xdr:from>
    <xdr:to>
      <xdr:col>11</xdr:col>
      <xdr:colOff>85725</xdr:colOff>
      <xdr:row>41</xdr:row>
      <xdr:rowOff>85726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95250</xdr:rowOff>
    </xdr:from>
    <xdr:to>
      <xdr:col>15</xdr:col>
      <xdr:colOff>676275</xdr:colOff>
      <xdr:row>44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0</xdr:row>
      <xdr:rowOff>0</xdr:rowOff>
    </xdr:from>
    <xdr:to>
      <xdr:col>12</xdr:col>
      <xdr:colOff>504825</xdr:colOff>
      <xdr:row>52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orgio Albieri" refreshedDate="45708.516473842596" createdVersion="8" refreshedVersion="8" minRefreshableVersion="3" recordCount="4941" xr:uid="{AA94F025-2D62-409F-940A-D0D837F96A0B}">
  <cacheSource type="worksheet">
    <worksheetSource ref="A1:H1048576" sheet="Total Table"/>
  </cacheSource>
  <cacheFields count="8">
    <cacheField name="Section Family" numFmtId="0">
      <sharedItems containsBlank="1" count="10">
        <s v="UB"/>
        <s v="NA"/>
        <s v="FB"/>
        <s v="UC"/>
        <s v="PFC"/>
        <s v="RHS"/>
        <s v="CHS"/>
        <s v="SHS"/>
        <m/>
        <s v="RSC" u="1"/>
      </sharedItems>
    </cacheField>
    <cacheField name="Section Name" numFmtId="0">
      <sharedItems containsBlank="1" count="230">
        <s v="UB 406x178x74"/>
        <s v="UB 305x127x48"/>
        <s v="UB 254x146x31"/>
        <s v="UB 203x133x25"/>
        <s v="UB 305x165x54"/>
        <s v="NA"/>
        <s v="UB 254x146x43"/>
        <s v="UB 457x191x98"/>
        <s v="UB 305x127x42"/>
        <s v="UB 305x127x37"/>
        <s v="UB 356x171x57"/>
        <s v="UB 254x146x37"/>
        <s v="UB 305x165x46"/>
        <s v="FB 1200x?x50x?"/>
        <s v="UB 305x165x40"/>
        <s v="UC 356x368x202"/>
        <s v="UC 356x406x393"/>
        <s v="FB 600x250x50x25"/>
        <s v="UC 356x406x287"/>
        <s v="UB 356x171x67"/>
        <s v="UC 305x305x283"/>
        <s v="UB 356x127x39"/>
        <s v="UB 533x210x122"/>
        <s v="UB 457x152x52"/>
        <s v="UB 254x102x22"/>
        <s v="FB 1200x?x50x25"/>
        <s v="UB 610x305x238"/>
        <s v="UB 610x305x179"/>
        <s v="UB 356x171x45"/>
        <s v="UB 610x229x125"/>
        <s v="UB 610x305x149"/>
        <s v="UB 457x191x67"/>
        <s v="UB 610x229x140"/>
        <s v="UB 610x229x101"/>
        <s v="UB 457x152x67"/>
        <s v="UB 457x152x82"/>
        <s v="UB 356x171x51"/>
        <s v="UB 305x102x28"/>
        <s v="UB 533x210x92"/>
        <s v="UB 254x102x25"/>
        <s v="UB 305x102x33"/>
        <s v="RSC 254x76"/>
        <s v="RSC 432x102"/>
        <s v="UB 356x127x33"/>
        <s v="UB 533x210x82"/>
        <s v="UB 457x152x74"/>
        <s v="UB 254x102x28"/>
        <s v="UB 457x191x74"/>
        <s v="UB 457x152x60"/>
        <s v="UB 305x102x25"/>
        <s v="UB 406x140x46"/>
        <s v="RSC 305x89"/>
        <s v="RSC 178x76"/>
        <s v="RSC 152x76"/>
        <s v="UB 686x254x170"/>
        <s v="UB 406x140x39"/>
        <s v="UB 610x229x113"/>
        <s v="RHS 300x200x10.0"/>
        <s v="RSC 152x89"/>
        <s v="RHS 300x200x16.0"/>
        <s v="RSC 159x89"/>
        <s v="RSC 229x76"/>
        <s v="RSC 127x64"/>
        <s v="UB 838x292x194"/>
        <s v="CHS 114.3x3.6"/>
        <s v="UC 203x203x46"/>
        <s v="FB 610x150x35x15"/>
        <s v="UB 533x210x101"/>
        <s v="UB 203x133x30"/>
        <s v="UC 305x305x198"/>
        <s v="FB 600x300x50x25"/>
        <s v="UB 406x178x67"/>
        <s v="FB 1800x700x50x90x35"/>
        <s v="UB 533x305x238"/>
        <s v="UB 838x292x226"/>
        <s v="UB 152x89x16"/>
        <s v="UC 254x254x107"/>
        <s v="UB 533x210x109"/>
        <s v="UB 762x267x147"/>
        <s v="UB 457x191x82"/>
        <s v="UC 305x305x240"/>
        <s v="UC 305x305x158"/>
        <s v="UB 686x254x125"/>
        <s v="UC 305x305x118"/>
        <s v="UC 305x305x97"/>
        <s v="FB 1200x450x50x25"/>
        <s v="UC 305x305x137"/>
        <s v="UB 406x178x54"/>
        <s v="UB 457x191x89"/>
        <s v="UB 406x178x57"/>
        <s v="UB 406x178x60"/>
        <s v="UC 254x254x89"/>
        <s v="UB 686x254x140"/>
        <s v="SHS 250x250x16.0"/>
        <s v="RHS 450x250x16.0"/>
        <s v="UC 356x406x340"/>
        <s v="UB 457x152x58"/>
        <s v="UC 203x203x86"/>
        <s v="UC 254x254x167"/>
        <s v="UC 254x254x132"/>
        <s v="UC 254x254x73"/>
        <s v="UB 762x267x197"/>
        <s v="UB 914x305x289"/>
        <s v="CHS 139.7x5.0"/>
        <s v="UC 203x203x52"/>
        <s v="RSC 305x102"/>
        <s v="UC 356x406x551"/>
        <s v="UC 203x203x71"/>
        <s v="UC 356x406x467"/>
        <s v="UC 152x152x23"/>
        <s v="UC 152x152x37"/>
        <s v="UC 356x406x235"/>
        <s v="UC 152x152x30"/>
        <s v="UC 203x203x60"/>
        <s v="UC 356x406x634"/>
        <s v="SHS 200x200x12.5"/>
        <s v="UC 356x368x153"/>
        <s v="SHS 200x200x16.0"/>
        <s v="SHS 200x200x8.0"/>
        <s v="SHS 180x180x12.5"/>
        <s v="SHS 180x180x8.0"/>
        <s v="SHS 180x180x6.3"/>
        <s v="SHS 180x180x10.0"/>
        <s v="SHS 200x200x10.0"/>
        <m/>
        <s v="457x191x74 UB" u="1"/>
        <s v="254x102x22 UB" u="1"/>
        <s v="406x140x39 UB" u="1"/>
        <s v="152x76 RSC" u="1"/>
        <s v="254x76 RSC" u="1"/>
        <s v="432x102 RSC" u="1"/>
        <s v="305x89 RSC" u="1"/>
        <s v="457x152x52 UB" u="1"/>
        <s v="533x210x82 UB" u="1"/>
        <s v="610x229x101 UB" u="1"/>
        <s v="305x102x28 UB" u="1"/>
        <s v="305x102x25 UB" u="1"/>
        <s v="254x102x28 UB" u="1"/>
        <s v="533x210x101 UB" u="1"/>
        <s v="406x140x46 UB" u="1"/>
        <s v="457x152x60 UB" u="1"/>
        <s v="533x210x92 UB" u="1"/>
        <s v="457x152x67 UB" u="1"/>
        <s v="457x191x67 UB" u="1"/>
        <s v="300x200x16.0 RHS" u="1"/>
        <s v="114.3x3.6 CHS" u="1"/>
        <s v="203x203x46 UC" u="1"/>
        <s v="300x200x10.0 RHS" u="1"/>
        <s v="356x406x287 UC" u="1"/>
        <s v="229x76 RSC" u="1"/>
        <s v="254x102x25 UB" u="1"/>
        <s v="356x171x45 UB" u="1"/>
        <s v="305x102x33 UB" u="1"/>
        <s v="686x254x170 UB" u="1"/>
        <s v="610x305x149 UB" u="1"/>
        <s v="178x76 RSC" u="1"/>
        <s v="356x127x39 UB" u="1"/>
        <s v="356x171x51 UB" u="1"/>
        <s v="457x152x82 UB" u="1"/>
        <s v="457x152x74 UB" u="1"/>
        <s v="610x229x140 UB" u="1"/>
        <s v="356x127x33 UB" u="1"/>
        <s v="838x292x194 UB" u="1"/>
        <s v="610x229x113 UB" u="1"/>
        <s v="152x89 RSC" u="1"/>
        <s v="139.7x5.0 CHS" u="1"/>
        <s v="203x203x52 UC" u="1"/>
        <s v="457x191x98 UB" u="1"/>
        <s v="305x165x54 UB" u="1"/>
        <s v="305x102 RSC" u="1"/>
        <s v="305x127x42 UB" u="1"/>
        <s v="305x165x46 UB" u="1"/>
        <s v="406x178x54 UB" u="1"/>
        <s v="457x191x82 UB" u="1"/>
        <s v="305x127x48 UB" u="1"/>
        <s v="610x229x125 UB" u="1"/>
        <s v="686x254x125 UB" u="1"/>
        <s v="305x305x137 UC" u="1"/>
        <s v="305x305x118 UC" u="1"/>
        <s v="406x178x60 UB" u="1"/>
        <s v="305x305x283 UC" u="1"/>
        <s v="305x305x240 UC" u="1"/>
        <s v="254x254x89 UC" u="1"/>
        <s v="406x178x67 UB" u="1"/>
        <s v="686x254x140 UB" u="1"/>
        <s v="305x305x97 UC" u="1"/>
        <s v="305x305x198 UC" u="1"/>
        <s v="250x250x16.0 SHS" u="1"/>
        <s v="450x250x16.0 RHS" u="1"/>
        <s v="356x406x340 UC" u="1"/>
        <s v="356x171x57 UB" u="1"/>
        <s v="457x191x89 UB" u="1"/>
        <s v="838x292x226 UB" u="1"/>
        <s v="533x210x122 UB" u="1"/>
        <s v="533x210x109 UB" u="1"/>
        <s v="356x171x67 UB" u="1"/>
        <s v="457x152x58 UB" u="1"/>
        <s v="305x305x158 UC" u="1"/>
        <s v="254x254x167 UC" u="1"/>
        <s v="254x254x132 UC" u="1"/>
        <s v="254x254x107 UC" u="1"/>
        <s v="762x267x147 UB" u="1"/>
        <s v="762x267x197 UB" u="1"/>
        <s v="914x305x289 UB" u="1"/>
        <s v="254x146x31 UB" u="1"/>
        <s v="1200x450x50x25 FB" u="1"/>
        <s v="406x178x57 UB" u="1"/>
        <s v="406x178x74 UB" u="1"/>
        <s v="254x146x37 UB" u="1"/>
        <s v="914x305x201 UB" u="1"/>
        <s v="305x165x40 UB" u="1"/>
        <s v="356x171x37 UB" u="1"/>
        <s v="203x203x86 UC" u="1"/>
        <s v="254x254x73 UC" u="1"/>
        <s v="152x152x23 UC" u="1"/>
        <s v="152x152x37 UC" u="1"/>
        <s v="203x203x71 UC" u="1"/>
        <s v="152x152x30 UC" u="1"/>
        <s v="356x406x235 UC" u="1"/>
        <s v="356x406x551 UC" u="1"/>
        <s v="356x368x153 UC" u="1"/>
        <s v="200x200x12.5 SHS" u="1"/>
        <s v="203x203x60 UC" u="1"/>
        <s v="180x180x12.5 SHS" u="1"/>
        <s v="180x180x8.0 SHS" u="1"/>
        <s v="200x200x16.0 SHS" u="1"/>
        <s v="200x200x8.0 SHS" u="1"/>
        <s v="180x180x6.3 SHS" u="1"/>
        <s v="200x200x10.0 SHS" u="1"/>
        <s v="180x180x10.0 SHS" u="1"/>
      </sharedItems>
    </cacheField>
    <cacheField name="Section Area" numFmtId="0">
      <sharedItems containsString="0" containsBlank="1" containsNumber="1" minValue="1.25E-3" maxValue="0.14280000000000001"/>
    </cacheField>
    <cacheField name="Total Length" numFmtId="0">
      <sharedItems containsString="0" containsBlank="1" containsNumber="1" minValue="0.35299999999999998" maxValue="15"/>
    </cacheField>
    <cacheField name="Including Cutoff" numFmtId="0">
      <sharedItems containsString="0" containsBlank="1" containsNumber="1" minValue="0" maxValue="14.6"/>
    </cacheField>
    <cacheField name="Rounded Length" numFmtId="0">
      <sharedItems containsString="0" containsBlank="1" containsNumber="1" minValue="0" maxValue="14.5" count="56">
        <n v="7"/>
        <n v="3"/>
        <n v="1"/>
        <n v="4"/>
        <n v="0"/>
        <n v="6"/>
        <n v="2"/>
        <n v="5"/>
        <n v="11"/>
        <n v="9"/>
        <n v="10"/>
        <n v="8"/>
        <n v="14"/>
        <n v="12"/>
        <n v="13"/>
        <m/>
        <n v="3.5" u="1"/>
        <n v="1.5" u="1"/>
        <n v="4.5" u="1"/>
        <n v="0.5" u="1"/>
        <n v="5.5" u="1"/>
        <n v="2.5" u="1"/>
        <n v="6.5" u="1"/>
        <n v="7.5" u="1"/>
        <n v="10.5" u="1"/>
        <n v="9.5" u="1"/>
        <n v="8.5" u="1"/>
        <n v="11.5" u="1"/>
        <n v="14.5" u="1"/>
        <n v="12.5" u="1"/>
        <n v="3.75" u="1"/>
        <n v="1.75" u="1"/>
        <n v="3.25" u="1"/>
        <n v="2.25" u="1"/>
        <n v="2.75" u="1"/>
        <n v="7.25" u="1"/>
        <n v="6.25" u="1"/>
        <n v="6.75" u="1"/>
        <n v="4.25" u="1"/>
        <n v="4.75" u="1"/>
        <n v="0.75" u="1"/>
        <n v="1.25" u="1"/>
        <n v="5.25" u="1"/>
        <n v="11.75" u="1"/>
        <n v="9.75" u="1"/>
        <n v="5.75" u="1"/>
        <n v="11.25" u="1"/>
        <n v="9.25" u="1"/>
        <n v="0.25" u="1"/>
        <n v="10.75" u="1"/>
        <n v="8.25" u="1"/>
        <n v="8.75" u="1"/>
        <n v="12.75" u="1"/>
        <n v="7.75" u="1"/>
        <n v="13.25" u="1"/>
        <n v="10.25" u="1"/>
      </sharedItems>
    </cacheField>
    <cacheField name="Total Volume" numFmtId="0">
      <sharedItems containsString="0" containsBlank="1" containsNumber="1" minValue="0" maxValue="1.9992000000000001"/>
    </cacheField>
    <cacheField name="Plot" numFmtId="0">
      <sharedItems containsBlank="1" count="3"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41">
  <r>
    <x v="0"/>
    <x v="0"/>
    <n v="9.4500000000000001E-3"/>
    <n v="7.5"/>
    <n v="7.1"/>
    <x v="0"/>
    <n v="6.615E-2"/>
    <x v="0"/>
  </r>
  <r>
    <x v="0"/>
    <x v="1"/>
    <n v="6.1199999999999996E-3"/>
    <n v="3.669"/>
    <n v="3.2690000000000001"/>
    <x v="1"/>
    <n v="1.8359999999999998E-2"/>
    <x v="0"/>
  </r>
  <r>
    <x v="0"/>
    <x v="2"/>
    <n v="3.9699999999999996E-3"/>
    <n v="4.1950000000000003"/>
    <n v="3.7950000000000004"/>
    <x v="1"/>
    <n v="1.1909999999999999E-2"/>
    <x v="0"/>
  </r>
  <r>
    <x v="0"/>
    <x v="2"/>
    <n v="3.9699999999999996E-3"/>
    <n v="4.0650000000000004"/>
    <n v="3.6650000000000005"/>
    <x v="1"/>
    <n v="1.1909999999999999E-2"/>
    <x v="0"/>
  </r>
  <r>
    <x v="0"/>
    <x v="3"/>
    <n v="3.2000000000000002E-3"/>
    <n v="2.1966950000000001"/>
    <n v="1.7966950000000002"/>
    <x v="2"/>
    <n v="3.2000000000000002E-3"/>
    <x v="0"/>
  </r>
  <r>
    <x v="0"/>
    <x v="4"/>
    <n v="6.8799999999999998E-3"/>
    <n v="5.2590000000000003"/>
    <n v="4.859"/>
    <x v="3"/>
    <n v="2.7519999999999999E-2"/>
    <x v="0"/>
  </r>
  <r>
    <x v="0"/>
    <x v="2"/>
    <n v="3.9699999999999996E-3"/>
    <n v="1.18"/>
    <n v="0.77999999999999992"/>
    <x v="4"/>
    <n v="0"/>
    <x v="0"/>
  </r>
  <r>
    <x v="0"/>
    <x v="0"/>
    <n v="9.4500000000000001E-3"/>
    <n v="3.74"/>
    <n v="3.3400000000000003"/>
    <x v="1"/>
    <n v="2.835E-2"/>
    <x v="0"/>
  </r>
  <r>
    <x v="0"/>
    <x v="0"/>
    <n v="9.4500000000000001E-3"/>
    <n v="6.835"/>
    <n v="6.4349999999999996"/>
    <x v="5"/>
    <n v="5.67E-2"/>
    <x v="0"/>
  </r>
  <r>
    <x v="0"/>
    <x v="2"/>
    <n v="3.9699999999999996E-3"/>
    <n v="3.669"/>
    <n v="3.2690000000000001"/>
    <x v="1"/>
    <n v="1.1909999999999999E-2"/>
    <x v="0"/>
  </r>
  <r>
    <x v="0"/>
    <x v="4"/>
    <n v="6.8799999999999998E-3"/>
    <n v="4.46"/>
    <n v="4.0599999999999996"/>
    <x v="3"/>
    <n v="2.7519999999999999E-2"/>
    <x v="0"/>
  </r>
  <r>
    <x v="1"/>
    <x v="5"/>
    <n v="8.5500000000000003E-3"/>
    <n v="2.4500000000000002"/>
    <n v="2.0500000000000003"/>
    <x v="6"/>
    <n v="1.7100000000000001E-2"/>
    <x v="0"/>
  </r>
  <r>
    <x v="1"/>
    <x v="5"/>
    <n v="8.5500000000000003E-3"/>
    <n v="2.4500000000000002"/>
    <n v="2.0500000000000003"/>
    <x v="6"/>
    <n v="1.7100000000000001E-2"/>
    <x v="0"/>
  </r>
  <r>
    <x v="0"/>
    <x v="2"/>
    <n v="3.9699999999999996E-3"/>
    <n v="5.48"/>
    <n v="5.08"/>
    <x v="7"/>
    <n v="1.985E-2"/>
    <x v="0"/>
  </r>
  <r>
    <x v="0"/>
    <x v="2"/>
    <n v="3.9699999999999996E-3"/>
    <n v="1.76"/>
    <n v="1.3599999999999999"/>
    <x v="2"/>
    <n v="3.9699999999999996E-3"/>
    <x v="0"/>
  </r>
  <r>
    <x v="0"/>
    <x v="6"/>
    <n v="5.4799999999999996E-3"/>
    <n v="5.48"/>
    <n v="5.08"/>
    <x v="7"/>
    <n v="2.7399999999999997E-2"/>
    <x v="0"/>
  </r>
  <r>
    <x v="0"/>
    <x v="6"/>
    <n v="5.4799999999999996E-3"/>
    <n v="1.76"/>
    <n v="1.3599999999999999"/>
    <x v="2"/>
    <n v="5.4799999999999996E-3"/>
    <x v="0"/>
  </r>
  <r>
    <x v="0"/>
    <x v="6"/>
    <n v="5.4799999999999996E-3"/>
    <n v="5.48"/>
    <n v="5.08"/>
    <x v="7"/>
    <n v="2.7399999999999997E-2"/>
    <x v="0"/>
  </r>
  <r>
    <x v="0"/>
    <x v="0"/>
    <n v="9.4500000000000001E-3"/>
    <n v="4.8499999999999996"/>
    <n v="4.4499999999999993"/>
    <x v="3"/>
    <n v="3.78E-2"/>
    <x v="0"/>
  </r>
  <r>
    <x v="0"/>
    <x v="2"/>
    <n v="3.9699999999999996E-3"/>
    <n v="4.8499999999999996"/>
    <n v="4.4499999999999993"/>
    <x v="3"/>
    <n v="1.5879999999999998E-2"/>
    <x v="0"/>
  </r>
  <r>
    <x v="0"/>
    <x v="0"/>
    <n v="9.4500000000000001E-3"/>
    <n v="3.4750000000000001"/>
    <n v="3.0750000000000002"/>
    <x v="1"/>
    <n v="2.835E-2"/>
    <x v="0"/>
  </r>
  <r>
    <x v="0"/>
    <x v="2"/>
    <n v="3.9699999999999996E-3"/>
    <n v="2.16"/>
    <n v="1.7600000000000002"/>
    <x v="2"/>
    <n v="3.9699999999999996E-3"/>
    <x v="0"/>
  </r>
  <r>
    <x v="0"/>
    <x v="7"/>
    <n v="1.2500000000000001E-2"/>
    <n v="4.8499999999999996"/>
    <n v="4.4499999999999993"/>
    <x v="3"/>
    <n v="0.05"/>
    <x v="0"/>
  </r>
  <r>
    <x v="0"/>
    <x v="2"/>
    <n v="3.9699999999999996E-3"/>
    <n v="1.375"/>
    <n v="0.97499999999999998"/>
    <x v="4"/>
    <n v="0"/>
    <x v="0"/>
  </r>
  <r>
    <x v="0"/>
    <x v="2"/>
    <n v="3.9699999999999996E-3"/>
    <n v="2.16"/>
    <n v="1.7600000000000002"/>
    <x v="2"/>
    <n v="3.9699999999999996E-3"/>
    <x v="0"/>
  </r>
  <r>
    <x v="0"/>
    <x v="8"/>
    <n v="5.3400000000000001E-3"/>
    <n v="3.422104"/>
    <n v="3.0221040000000001"/>
    <x v="1"/>
    <n v="1.602E-2"/>
    <x v="0"/>
  </r>
  <r>
    <x v="0"/>
    <x v="9"/>
    <n v="4.7200000000000002E-3"/>
    <n v="4.3607319999999996"/>
    <n v="3.9607319999999997"/>
    <x v="1"/>
    <n v="1.4160000000000001E-2"/>
    <x v="1"/>
  </r>
  <r>
    <x v="0"/>
    <x v="3"/>
    <n v="3.2000000000000002E-3"/>
    <n v="4.3"/>
    <n v="3.9"/>
    <x v="1"/>
    <n v="9.6000000000000009E-3"/>
    <x v="0"/>
  </r>
  <r>
    <x v="0"/>
    <x v="8"/>
    <n v="5.3400000000000001E-3"/>
    <n v="6.7"/>
    <n v="6.3"/>
    <x v="5"/>
    <n v="3.2039999999999999E-2"/>
    <x v="0"/>
  </r>
  <r>
    <x v="0"/>
    <x v="8"/>
    <n v="5.3400000000000001E-3"/>
    <n v="6.7"/>
    <n v="6.3"/>
    <x v="5"/>
    <n v="3.2039999999999999E-2"/>
    <x v="0"/>
  </r>
  <r>
    <x v="0"/>
    <x v="10"/>
    <n v="7.26E-3"/>
    <n v="3.75"/>
    <n v="3.35"/>
    <x v="1"/>
    <n v="2.1780000000000001E-2"/>
    <x v="0"/>
  </r>
  <r>
    <x v="0"/>
    <x v="2"/>
    <n v="3.9699999999999996E-3"/>
    <n v="3.75"/>
    <n v="3.35"/>
    <x v="1"/>
    <n v="1.1909999999999999E-2"/>
    <x v="0"/>
  </r>
  <r>
    <x v="0"/>
    <x v="11"/>
    <n v="4.7200000000000002E-3"/>
    <n v="6.7"/>
    <n v="6.3"/>
    <x v="5"/>
    <n v="2.8320000000000001E-2"/>
    <x v="1"/>
  </r>
  <r>
    <x v="0"/>
    <x v="10"/>
    <n v="7.26E-3"/>
    <n v="3.75"/>
    <n v="3.35"/>
    <x v="1"/>
    <n v="2.1780000000000001E-2"/>
    <x v="0"/>
  </r>
  <r>
    <x v="0"/>
    <x v="2"/>
    <n v="3.9699999999999996E-3"/>
    <n v="1.430166"/>
    <n v="1.0301659999999999"/>
    <x v="2"/>
    <n v="3.9699999999999996E-3"/>
    <x v="0"/>
  </r>
  <r>
    <x v="0"/>
    <x v="2"/>
    <n v="3.9699999999999996E-3"/>
    <n v="6.0698340000000002"/>
    <n v="5.6698339999999998"/>
    <x v="7"/>
    <n v="1.985E-2"/>
    <x v="0"/>
  </r>
  <r>
    <x v="0"/>
    <x v="11"/>
    <n v="4.7200000000000002E-3"/>
    <n v="4.5687420000000003"/>
    <n v="4.1687419999999999"/>
    <x v="3"/>
    <n v="1.8880000000000001E-2"/>
    <x v="1"/>
  </r>
  <r>
    <x v="0"/>
    <x v="12"/>
    <n v="5.8700000000000002E-3"/>
    <n v="7.5"/>
    <n v="7.1"/>
    <x v="0"/>
    <n v="4.1090000000000002E-2"/>
    <x v="0"/>
  </r>
  <r>
    <x v="0"/>
    <x v="0"/>
    <n v="9.4500000000000001E-3"/>
    <n v="7.5"/>
    <n v="7.1"/>
    <x v="0"/>
    <n v="6.615E-2"/>
    <x v="0"/>
  </r>
  <r>
    <x v="2"/>
    <x v="13"/>
    <n v="7.7499999999999999E-2"/>
    <n v="7.5"/>
    <n v="7.1"/>
    <x v="0"/>
    <n v="0.54249999999999998"/>
    <x v="1"/>
  </r>
  <r>
    <x v="0"/>
    <x v="14"/>
    <n v="5.13E-3"/>
    <n v="3.75"/>
    <n v="3.35"/>
    <x v="1"/>
    <n v="1.5390000000000001E-2"/>
    <x v="1"/>
  </r>
  <r>
    <x v="3"/>
    <x v="15"/>
    <n v="2.5700000000000001E-2"/>
    <n v="7.5"/>
    <n v="7.1"/>
    <x v="0"/>
    <n v="0.1799"/>
    <x v="1"/>
  </r>
  <r>
    <x v="0"/>
    <x v="2"/>
    <n v="3.9699999999999996E-3"/>
    <n v="4.7"/>
    <n v="4.3"/>
    <x v="3"/>
    <n v="1.5879999999999998E-2"/>
    <x v="0"/>
  </r>
  <r>
    <x v="3"/>
    <x v="16"/>
    <n v="5.0099999999999999E-2"/>
    <n v="7.5"/>
    <n v="7.1"/>
    <x v="0"/>
    <n v="0.35070000000000001"/>
    <x v="0"/>
  </r>
  <r>
    <x v="3"/>
    <x v="16"/>
    <n v="5.0099999999999999E-2"/>
    <n v="6.3275769999999998"/>
    <n v="5.9275769999999994"/>
    <x v="7"/>
    <n v="0.2505"/>
    <x v="0"/>
  </r>
  <r>
    <x v="2"/>
    <x v="17"/>
    <n v="3.7499999999999999E-2"/>
    <n v="7.5"/>
    <n v="7.1"/>
    <x v="0"/>
    <n v="0.26250000000000001"/>
    <x v="1"/>
  </r>
  <r>
    <x v="0"/>
    <x v="2"/>
    <n v="3.9699999999999996E-3"/>
    <n v="5.7243830000000004"/>
    <n v="5.3243830000000001"/>
    <x v="7"/>
    <n v="1.985E-2"/>
    <x v="0"/>
  </r>
  <r>
    <x v="3"/>
    <x v="18"/>
    <n v="3.6600000000000001E-2"/>
    <n v="5.6690880000000003"/>
    <n v="5.269088"/>
    <x v="7"/>
    <n v="0.183"/>
    <x v="0"/>
  </r>
  <r>
    <x v="0"/>
    <x v="19"/>
    <n v="8.5500000000000003E-3"/>
    <n v="3.75"/>
    <n v="3.35"/>
    <x v="1"/>
    <n v="2.5649999999999999E-2"/>
    <x v="0"/>
  </r>
  <r>
    <x v="0"/>
    <x v="19"/>
    <n v="8.5500000000000003E-3"/>
    <n v="7.5"/>
    <n v="7.1"/>
    <x v="0"/>
    <n v="5.985E-2"/>
    <x v="0"/>
  </r>
  <r>
    <x v="0"/>
    <x v="19"/>
    <n v="8.5500000000000003E-3"/>
    <n v="7.5"/>
    <n v="7.1"/>
    <x v="0"/>
    <n v="5.985E-2"/>
    <x v="0"/>
  </r>
  <r>
    <x v="3"/>
    <x v="15"/>
    <n v="2.5700000000000001E-2"/>
    <n v="7.5"/>
    <n v="7.1"/>
    <x v="0"/>
    <n v="0.1799"/>
    <x v="1"/>
  </r>
  <r>
    <x v="0"/>
    <x v="4"/>
    <n v="6.8799999999999998E-3"/>
    <n v="3.75"/>
    <n v="3.35"/>
    <x v="1"/>
    <n v="2.0639999999999999E-2"/>
    <x v="0"/>
  </r>
  <r>
    <x v="0"/>
    <x v="7"/>
    <n v="1.2500000000000001E-2"/>
    <n v="7.5"/>
    <n v="7.1"/>
    <x v="0"/>
    <n v="8.7500000000000008E-2"/>
    <x v="0"/>
  </r>
  <r>
    <x v="3"/>
    <x v="20"/>
    <n v="3.5999999999999997E-2"/>
    <n v="6.4"/>
    <n v="6"/>
    <x v="5"/>
    <n v="0.21599999999999997"/>
    <x v="1"/>
  </r>
  <r>
    <x v="3"/>
    <x v="16"/>
    <n v="5.0099999999999999E-2"/>
    <n v="7.5"/>
    <n v="7.1"/>
    <x v="0"/>
    <n v="0.35070000000000001"/>
    <x v="0"/>
  </r>
  <r>
    <x v="0"/>
    <x v="0"/>
    <n v="9.4500000000000001E-3"/>
    <n v="6.4"/>
    <n v="6"/>
    <x v="5"/>
    <n v="5.67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6.4"/>
    <n v="6"/>
    <x v="5"/>
    <n v="5.67E-2"/>
    <x v="0"/>
  </r>
  <r>
    <x v="0"/>
    <x v="19"/>
    <n v="8.5500000000000003E-3"/>
    <n v="6.4"/>
    <n v="6"/>
    <x v="5"/>
    <n v="5.129999999999999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"/>
    <n v="3.9699999999999996E-3"/>
    <n v="5.6859479999999998"/>
    <n v="5.2859479999999994"/>
    <x v="7"/>
    <n v="1.985E-2"/>
    <x v="0"/>
  </r>
  <r>
    <x v="0"/>
    <x v="19"/>
    <n v="8.5500000000000003E-3"/>
    <n v="7.5"/>
    <n v="7.1"/>
    <x v="0"/>
    <n v="5.985E-2"/>
    <x v="0"/>
  </r>
  <r>
    <x v="0"/>
    <x v="2"/>
    <n v="3.9699999999999996E-3"/>
    <n v="2.5728909999999998"/>
    <n v="2.1728909999999999"/>
    <x v="6"/>
    <n v="7.9399999999999991E-3"/>
    <x v="0"/>
  </r>
  <r>
    <x v="0"/>
    <x v="21"/>
    <n v="4.9800000000000001E-3"/>
    <n v="8.0939999999999994"/>
    <n v="7.6939999999999991"/>
    <x v="0"/>
    <n v="3.4860000000000002E-2"/>
    <x v="0"/>
  </r>
  <r>
    <x v="0"/>
    <x v="22"/>
    <n v="1.55E-2"/>
    <n v="7.610233"/>
    <n v="7.2102329999999997"/>
    <x v="0"/>
    <n v="0.1085"/>
    <x v="0"/>
  </r>
  <r>
    <x v="0"/>
    <x v="23"/>
    <n v="6.6600000000000001E-3"/>
    <n v="3.6744080000000001"/>
    <n v="3.2744080000000002"/>
    <x v="1"/>
    <n v="1.9980000000000001E-2"/>
    <x v="0"/>
  </r>
  <r>
    <x v="0"/>
    <x v="24"/>
    <n v="2.8E-3"/>
    <n v="1.6003050000000001"/>
    <n v="1.2003050000000002"/>
    <x v="2"/>
    <n v="2.8E-3"/>
    <x v="0"/>
  </r>
  <r>
    <x v="0"/>
    <x v="24"/>
    <n v="2.8E-3"/>
    <n v="1.6002179999999999"/>
    <n v="1.200218"/>
    <x v="2"/>
    <n v="2.8E-3"/>
    <x v="0"/>
  </r>
  <r>
    <x v="0"/>
    <x v="23"/>
    <n v="6.6600000000000001E-3"/>
    <n v="3.6746639999999999"/>
    <n v="3.274664"/>
    <x v="1"/>
    <n v="1.9980000000000001E-2"/>
    <x v="0"/>
  </r>
  <r>
    <x v="2"/>
    <x v="25"/>
    <n v="7.7499999999999999E-2"/>
    <n v="11.725505"/>
    <n v="11.325505"/>
    <x v="8"/>
    <n v="0.85250000000000004"/>
    <x v="1"/>
  </r>
  <r>
    <x v="0"/>
    <x v="21"/>
    <n v="4.9800000000000001E-3"/>
    <n v="1.7747539999999999"/>
    <n v="1.3747539999999998"/>
    <x v="2"/>
    <n v="4.9800000000000001E-3"/>
    <x v="0"/>
  </r>
  <r>
    <x v="0"/>
    <x v="21"/>
    <n v="4.9800000000000001E-3"/>
    <n v="1.774834"/>
    <n v="1.3748339999999999"/>
    <x v="2"/>
    <n v="4.9800000000000001E-3"/>
    <x v="0"/>
  </r>
  <r>
    <x v="0"/>
    <x v="23"/>
    <n v="6.6600000000000001E-3"/>
    <n v="3.6749239999999999"/>
    <n v="3.2749239999999999"/>
    <x v="1"/>
    <n v="1.9980000000000001E-2"/>
    <x v="0"/>
  </r>
  <r>
    <x v="0"/>
    <x v="21"/>
    <n v="4.9800000000000001E-3"/>
    <n v="1.7750140000000001"/>
    <n v="1.3750140000000002"/>
    <x v="2"/>
    <n v="4.9800000000000001E-3"/>
    <x v="0"/>
  </r>
  <r>
    <x v="0"/>
    <x v="21"/>
    <n v="4.9800000000000001E-3"/>
    <n v="1.775093"/>
    <n v="1.3750930000000001"/>
    <x v="2"/>
    <n v="4.9800000000000001E-3"/>
    <x v="0"/>
  </r>
  <r>
    <x v="0"/>
    <x v="23"/>
    <n v="6.6600000000000001E-3"/>
    <n v="3.6751830000000001"/>
    <n v="3.2751830000000002"/>
    <x v="1"/>
    <n v="1.9980000000000001E-2"/>
    <x v="0"/>
  </r>
  <r>
    <x v="0"/>
    <x v="26"/>
    <n v="3.0300000000000001E-2"/>
    <n v="7.4254689999999997"/>
    <n v="7.0254689999999993"/>
    <x v="0"/>
    <n v="0.21210000000000001"/>
    <x v="0"/>
  </r>
  <r>
    <x v="0"/>
    <x v="26"/>
    <n v="3.0300000000000001E-2"/>
    <n v="7.4257289999999996"/>
    <n v="7.0257289999999992"/>
    <x v="0"/>
    <n v="0.21210000000000001"/>
    <x v="0"/>
  </r>
  <r>
    <x v="0"/>
    <x v="21"/>
    <n v="4.9800000000000001E-3"/>
    <n v="4.3932710000000004"/>
    <n v="3.9932710000000005"/>
    <x v="1"/>
    <n v="1.494E-2"/>
    <x v="0"/>
  </r>
  <r>
    <x v="0"/>
    <x v="21"/>
    <n v="4.9800000000000001E-3"/>
    <n v="3.8856470000000001"/>
    <n v="3.4856470000000002"/>
    <x v="1"/>
    <n v="1.494E-2"/>
    <x v="0"/>
  </r>
  <r>
    <x v="0"/>
    <x v="21"/>
    <n v="4.9800000000000001E-3"/>
    <n v="3.2026490000000001"/>
    <n v="2.8026490000000002"/>
    <x v="6"/>
    <n v="9.9600000000000001E-3"/>
    <x v="0"/>
  </r>
  <r>
    <x v="0"/>
    <x v="26"/>
    <n v="3.0300000000000001E-2"/>
    <n v="7.7039989999999996"/>
    <n v="7.3039989999999992"/>
    <x v="0"/>
    <n v="0.21210000000000001"/>
    <x v="0"/>
  </r>
  <r>
    <x v="0"/>
    <x v="27"/>
    <n v="2.2800000000000001E-2"/>
    <n v="6.6223049999999999"/>
    <n v="6.2223049999999995"/>
    <x v="5"/>
    <n v="0.1368"/>
    <x v="1"/>
  </r>
  <r>
    <x v="0"/>
    <x v="22"/>
    <n v="1.55E-2"/>
    <n v="6.6068319999999998"/>
    <n v="6.2068319999999995"/>
    <x v="5"/>
    <n v="9.2999999999999999E-2"/>
    <x v="0"/>
  </r>
  <r>
    <x v="0"/>
    <x v="22"/>
    <n v="1.55E-2"/>
    <n v="6.6004170000000002"/>
    <n v="6.2004169999999998"/>
    <x v="5"/>
    <n v="9.2999999999999999E-2"/>
    <x v="0"/>
  </r>
  <r>
    <x v="0"/>
    <x v="21"/>
    <n v="4.9800000000000001E-3"/>
    <n v="4.1127120000000001"/>
    <n v="3.7127120000000002"/>
    <x v="1"/>
    <n v="1.494E-2"/>
    <x v="0"/>
  </r>
  <r>
    <x v="0"/>
    <x v="21"/>
    <n v="4.9800000000000001E-3"/>
    <n v="3.3617750000000002"/>
    <n v="2.9617750000000003"/>
    <x v="6"/>
    <n v="9.9600000000000001E-3"/>
    <x v="0"/>
  </r>
  <r>
    <x v="0"/>
    <x v="22"/>
    <n v="1.55E-2"/>
    <n v="4.1075330000000001"/>
    <n v="3.7075330000000002"/>
    <x v="1"/>
    <n v="4.65E-2"/>
    <x v="0"/>
  </r>
  <r>
    <x v="0"/>
    <x v="26"/>
    <n v="3.0300000000000001E-2"/>
    <n v="9.484413"/>
    <n v="9.0844129999999996"/>
    <x v="9"/>
    <n v="0.2727"/>
    <x v="0"/>
  </r>
  <r>
    <x v="0"/>
    <x v="26"/>
    <n v="3.0300000000000001E-2"/>
    <n v="9.4747090000000007"/>
    <n v="9.0747090000000004"/>
    <x v="9"/>
    <n v="0.2727"/>
    <x v="0"/>
  </r>
  <r>
    <x v="0"/>
    <x v="26"/>
    <n v="3.0300000000000001E-2"/>
    <n v="9.4682940000000002"/>
    <n v="9.0682939999999999"/>
    <x v="9"/>
    <n v="0.2727"/>
    <x v="0"/>
  </r>
  <r>
    <x v="0"/>
    <x v="26"/>
    <n v="3.0300000000000001E-2"/>
    <n v="9.4618789999999997"/>
    <n v="9.0618789999999994"/>
    <x v="9"/>
    <n v="0.2727"/>
    <x v="0"/>
  </r>
  <r>
    <x v="0"/>
    <x v="22"/>
    <n v="1.55E-2"/>
    <n v="4.0794699999999997"/>
    <n v="3.6794699999999998"/>
    <x v="1"/>
    <n v="4.65E-2"/>
    <x v="0"/>
  </r>
  <r>
    <x v="0"/>
    <x v="26"/>
    <n v="3.0300000000000001E-2"/>
    <n v="7.4999739999999999"/>
    <n v="7.0999739999999996"/>
    <x v="0"/>
    <n v="0.21210000000000001"/>
    <x v="0"/>
  </r>
  <r>
    <x v="0"/>
    <x v="22"/>
    <n v="1.55E-2"/>
    <n v="7.4999739999999999"/>
    <n v="7.0999739999999996"/>
    <x v="0"/>
    <n v="0.1085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1"/>
    <n v="4.9800000000000001E-3"/>
    <n v="7.6101770000000002"/>
    <n v="7.2101769999999998"/>
    <x v="0"/>
    <n v="3.4860000000000002E-2"/>
    <x v="0"/>
  </r>
  <r>
    <x v="0"/>
    <x v="24"/>
    <n v="2.8E-3"/>
    <n v="3.7542"/>
    <n v="3.3542000000000001"/>
    <x v="1"/>
    <n v="8.3999999999999995E-3"/>
    <x v="0"/>
  </r>
  <r>
    <x v="0"/>
    <x v="21"/>
    <n v="4.9800000000000001E-3"/>
    <n v="6.6101999999999999"/>
    <n v="6.2101999999999995"/>
    <x v="5"/>
    <n v="2.988E-2"/>
    <x v="0"/>
  </r>
  <r>
    <x v="0"/>
    <x v="21"/>
    <n v="4.9800000000000001E-3"/>
    <n v="6.1640240000000004"/>
    <n v="5.764024"/>
    <x v="7"/>
    <n v="2.4899999999999999E-2"/>
    <x v="0"/>
  </r>
  <r>
    <x v="0"/>
    <x v="21"/>
    <n v="4.9800000000000001E-3"/>
    <n v="5.6991699999999996"/>
    <n v="5.2991699999999993"/>
    <x v="7"/>
    <n v="2.4899999999999999E-2"/>
    <x v="0"/>
  </r>
  <r>
    <x v="0"/>
    <x v="21"/>
    <n v="4.9800000000000001E-3"/>
    <n v="5.2339719999999996"/>
    <n v="4.8339719999999993"/>
    <x v="3"/>
    <n v="1.992E-2"/>
    <x v="0"/>
  </r>
  <r>
    <x v="0"/>
    <x v="21"/>
    <n v="4.9800000000000001E-3"/>
    <n v="4.8670010000000001"/>
    <n v="4.4670009999999998"/>
    <x v="3"/>
    <n v="1.992E-2"/>
    <x v="0"/>
  </r>
  <r>
    <x v="0"/>
    <x v="21"/>
    <n v="4.9800000000000001E-3"/>
    <n v="4.4626760000000001"/>
    <n v="4.0626759999999997"/>
    <x v="3"/>
    <n v="1.992E-2"/>
    <x v="0"/>
  </r>
  <r>
    <x v="0"/>
    <x v="21"/>
    <n v="4.9800000000000001E-3"/>
    <n v="4.0163270000000004"/>
    <n v="3.6163270000000005"/>
    <x v="1"/>
    <n v="1.494E-2"/>
    <x v="0"/>
  </r>
  <r>
    <x v="0"/>
    <x v="21"/>
    <n v="4.9800000000000001E-3"/>
    <n v="3.5699779999999999"/>
    <n v="3.169978"/>
    <x v="1"/>
    <n v="1.494E-2"/>
    <x v="0"/>
  </r>
  <r>
    <x v="0"/>
    <x v="21"/>
    <n v="4.9800000000000001E-3"/>
    <n v="3.2030069999999999"/>
    <n v="2.803007"/>
    <x v="6"/>
    <n v="9.9600000000000001E-3"/>
    <x v="0"/>
  </r>
  <r>
    <x v="0"/>
    <x v="21"/>
    <n v="4.9800000000000001E-3"/>
    <n v="2.7381540000000002"/>
    <n v="2.3381540000000003"/>
    <x v="6"/>
    <n v="9.9600000000000001E-3"/>
    <x v="0"/>
  </r>
  <r>
    <x v="0"/>
    <x v="21"/>
    <n v="4.9800000000000001E-3"/>
    <n v="2.2729550000000001"/>
    <n v="1.8729550000000001"/>
    <x v="2"/>
    <n v="4.9800000000000001E-3"/>
    <x v="0"/>
  </r>
  <r>
    <x v="0"/>
    <x v="21"/>
    <n v="4.9800000000000001E-3"/>
    <n v="1.9824219999999999"/>
    <n v="1.5824219999999998"/>
    <x v="2"/>
    <n v="4.9800000000000001E-3"/>
    <x v="0"/>
  </r>
  <r>
    <x v="0"/>
    <x v="22"/>
    <n v="1.55E-2"/>
    <n v="3.789399"/>
    <n v="3.3893990000000001"/>
    <x v="1"/>
    <n v="4.65E-2"/>
    <x v="0"/>
  </r>
  <r>
    <x v="0"/>
    <x v="22"/>
    <n v="1.55E-2"/>
    <n v="3.8218809999999999"/>
    <n v="3.421881"/>
    <x v="1"/>
    <n v="4.65E-2"/>
    <x v="0"/>
  </r>
  <r>
    <x v="0"/>
    <x v="24"/>
    <n v="2.8E-3"/>
    <n v="2.6"/>
    <n v="2.2000000000000002"/>
    <x v="6"/>
    <n v="5.5999999999999999E-3"/>
    <x v="0"/>
  </r>
  <r>
    <x v="0"/>
    <x v="24"/>
    <n v="2.8E-3"/>
    <n v="2.6"/>
    <n v="2.2000000000000002"/>
    <x v="6"/>
    <n v="5.5999999999999999E-3"/>
    <x v="0"/>
  </r>
  <r>
    <x v="0"/>
    <x v="24"/>
    <n v="2.8E-3"/>
    <n v="2.6"/>
    <n v="2.2000000000000002"/>
    <x v="6"/>
    <n v="5.5999999999999999E-3"/>
    <x v="0"/>
  </r>
  <r>
    <x v="0"/>
    <x v="24"/>
    <n v="2.8E-3"/>
    <n v="2.6"/>
    <n v="2.2000000000000002"/>
    <x v="6"/>
    <n v="5.5999999999999999E-3"/>
    <x v="0"/>
  </r>
  <r>
    <x v="0"/>
    <x v="21"/>
    <n v="4.9800000000000001E-3"/>
    <n v="4.46"/>
    <n v="4.0599999999999996"/>
    <x v="3"/>
    <n v="1.992E-2"/>
    <x v="0"/>
  </r>
  <r>
    <x v="0"/>
    <x v="21"/>
    <n v="4.9800000000000001E-3"/>
    <n v="7.276643"/>
    <n v="6.8766429999999996"/>
    <x v="5"/>
    <n v="2.988E-2"/>
    <x v="0"/>
  </r>
  <r>
    <x v="0"/>
    <x v="21"/>
    <n v="4.9800000000000001E-3"/>
    <n v="4.46"/>
    <n v="4.0599999999999996"/>
    <x v="3"/>
    <n v="1.992E-2"/>
    <x v="0"/>
  </r>
  <r>
    <x v="0"/>
    <x v="24"/>
    <n v="2.8E-3"/>
    <n v="2.6880000000000002"/>
    <n v="2.2880000000000003"/>
    <x v="6"/>
    <n v="5.5999999999999999E-3"/>
    <x v="0"/>
  </r>
  <r>
    <x v="0"/>
    <x v="21"/>
    <n v="4.9800000000000001E-3"/>
    <n v="4.46"/>
    <n v="4.0599999999999996"/>
    <x v="3"/>
    <n v="1.992E-2"/>
    <x v="0"/>
  </r>
  <r>
    <x v="0"/>
    <x v="21"/>
    <n v="4.9800000000000001E-3"/>
    <n v="7.2839999999999998"/>
    <n v="6.8839999999999995"/>
    <x v="5"/>
    <n v="2.988E-2"/>
    <x v="0"/>
  </r>
  <r>
    <x v="0"/>
    <x v="24"/>
    <n v="2.8E-3"/>
    <n v="1.21"/>
    <n v="0.80999999999999994"/>
    <x v="4"/>
    <n v="0"/>
    <x v="0"/>
  </r>
  <r>
    <x v="0"/>
    <x v="24"/>
    <n v="2.8E-3"/>
    <n v="1.21"/>
    <n v="0.80999999999999994"/>
    <x v="4"/>
    <n v="0"/>
    <x v="0"/>
  </r>
  <r>
    <x v="0"/>
    <x v="21"/>
    <n v="4.9800000000000001E-3"/>
    <n v="6.835"/>
    <n v="6.4349999999999996"/>
    <x v="5"/>
    <n v="2.988E-2"/>
    <x v="0"/>
  </r>
  <r>
    <x v="0"/>
    <x v="10"/>
    <n v="7.26E-3"/>
    <n v="7.7"/>
    <n v="7.3"/>
    <x v="0"/>
    <n v="5.0819999999999997E-2"/>
    <x v="0"/>
  </r>
  <r>
    <x v="0"/>
    <x v="10"/>
    <n v="7.26E-3"/>
    <n v="7.7"/>
    <n v="7.3"/>
    <x v="0"/>
    <n v="5.0819999999999997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3.74"/>
    <n v="3.3400000000000003"/>
    <x v="1"/>
    <n v="1.494E-2"/>
    <x v="0"/>
  </r>
  <r>
    <x v="0"/>
    <x v="21"/>
    <n v="4.9800000000000001E-3"/>
    <n v="3.74"/>
    <n v="3.3400000000000003"/>
    <x v="1"/>
    <n v="1.494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6.835"/>
    <n v="6.4349999999999996"/>
    <x v="5"/>
    <n v="2.988E-2"/>
    <x v="0"/>
  </r>
  <r>
    <x v="0"/>
    <x v="10"/>
    <n v="7.26E-3"/>
    <n v="7.7"/>
    <n v="7.3"/>
    <x v="0"/>
    <n v="5.0819999999999997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3.74"/>
    <n v="3.3400000000000003"/>
    <x v="1"/>
    <n v="1.494E-2"/>
    <x v="0"/>
  </r>
  <r>
    <x v="0"/>
    <x v="21"/>
    <n v="4.9800000000000001E-3"/>
    <n v="6.835"/>
    <n v="6.4349999999999996"/>
    <x v="5"/>
    <n v="2.988E-2"/>
    <x v="0"/>
  </r>
  <r>
    <x v="0"/>
    <x v="24"/>
    <n v="2.8E-3"/>
    <n v="1.48"/>
    <n v="1.08"/>
    <x v="2"/>
    <n v="2.8E-3"/>
    <x v="0"/>
  </r>
  <r>
    <x v="0"/>
    <x v="24"/>
    <n v="2.8E-3"/>
    <n v="1.48"/>
    <n v="1.08"/>
    <x v="2"/>
    <n v="2.8E-3"/>
    <x v="0"/>
  </r>
  <r>
    <x v="0"/>
    <x v="24"/>
    <n v="2.8E-3"/>
    <n v="3.052"/>
    <n v="2.6520000000000001"/>
    <x v="6"/>
    <n v="5.5999999999999999E-3"/>
    <x v="0"/>
  </r>
  <r>
    <x v="0"/>
    <x v="24"/>
    <n v="2.8E-3"/>
    <n v="3.052"/>
    <n v="2.6520000000000001"/>
    <x v="6"/>
    <n v="5.5999999999999999E-3"/>
    <x v="0"/>
  </r>
  <r>
    <x v="0"/>
    <x v="24"/>
    <n v="2.8E-3"/>
    <n v="4.26"/>
    <n v="3.86"/>
    <x v="1"/>
    <n v="8.3999999999999995E-3"/>
    <x v="0"/>
  </r>
  <r>
    <x v="0"/>
    <x v="21"/>
    <n v="4.9800000000000001E-3"/>
    <n v="3.669"/>
    <n v="3.2690000000000001"/>
    <x v="1"/>
    <n v="1.494E-2"/>
    <x v="0"/>
  </r>
  <r>
    <x v="0"/>
    <x v="24"/>
    <n v="2.8E-3"/>
    <n v="2.59"/>
    <n v="2.19"/>
    <x v="6"/>
    <n v="5.5999999999999999E-3"/>
    <x v="0"/>
  </r>
  <r>
    <x v="0"/>
    <x v="24"/>
    <n v="2.8E-3"/>
    <n v="3.052"/>
    <n v="2.6520000000000001"/>
    <x v="6"/>
    <n v="5.5999999999999999E-3"/>
    <x v="0"/>
  </r>
  <r>
    <x v="0"/>
    <x v="24"/>
    <n v="2.8E-3"/>
    <n v="3.052"/>
    <n v="2.6520000000000001"/>
    <x v="6"/>
    <n v="5.5999999999999999E-3"/>
    <x v="0"/>
  </r>
  <r>
    <x v="0"/>
    <x v="28"/>
    <n v="5.7299999999999999E-3"/>
    <n v="8.1340000000000003"/>
    <n v="7.734"/>
    <x v="0"/>
    <n v="4.011E-2"/>
    <x v="0"/>
  </r>
  <r>
    <x v="0"/>
    <x v="24"/>
    <n v="2.8E-3"/>
    <n v="4.26"/>
    <n v="3.86"/>
    <x v="1"/>
    <n v="8.3999999999999995E-3"/>
    <x v="0"/>
  </r>
  <r>
    <x v="0"/>
    <x v="24"/>
    <n v="2.8E-3"/>
    <n v="2.59"/>
    <n v="2.19"/>
    <x v="6"/>
    <n v="5.5999999999999999E-3"/>
    <x v="0"/>
  </r>
  <r>
    <x v="0"/>
    <x v="24"/>
    <n v="2.8E-3"/>
    <n v="2.575005"/>
    <n v="2.1750050000000001"/>
    <x v="6"/>
    <n v="5.5999999999999999E-3"/>
    <x v="0"/>
  </r>
  <r>
    <x v="0"/>
    <x v="21"/>
    <n v="4.9800000000000001E-3"/>
    <n v="2.534268"/>
    <n v="2.1342680000000001"/>
    <x v="6"/>
    <n v="9.9600000000000001E-3"/>
    <x v="0"/>
  </r>
  <r>
    <x v="0"/>
    <x v="21"/>
    <n v="4.9800000000000001E-3"/>
    <n v="3.6150000000000002"/>
    <n v="3.2150000000000003"/>
    <x v="1"/>
    <n v="1.494E-2"/>
    <x v="0"/>
  </r>
  <r>
    <x v="0"/>
    <x v="21"/>
    <n v="4.9800000000000001E-3"/>
    <n v="3.6139929999999998"/>
    <n v="3.2139929999999999"/>
    <x v="1"/>
    <n v="1.494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5.1550000000000002"/>
    <n v="4.7549999999999999"/>
    <x v="3"/>
    <n v="1.992E-2"/>
    <x v="0"/>
  </r>
  <r>
    <x v="0"/>
    <x v="21"/>
    <n v="4.9800000000000001E-3"/>
    <n v="4.46"/>
    <n v="4.0599999999999996"/>
    <x v="3"/>
    <n v="1.992E-2"/>
    <x v="0"/>
  </r>
  <r>
    <x v="0"/>
    <x v="21"/>
    <n v="4.9800000000000001E-3"/>
    <n v="4.46"/>
    <n v="4.0599999999999996"/>
    <x v="3"/>
    <n v="1.992E-2"/>
    <x v="0"/>
  </r>
  <r>
    <x v="0"/>
    <x v="21"/>
    <n v="4.9800000000000001E-3"/>
    <n v="4.46"/>
    <n v="4.0599999999999996"/>
    <x v="3"/>
    <n v="1.992E-2"/>
    <x v="0"/>
  </r>
  <r>
    <x v="0"/>
    <x v="24"/>
    <n v="2.8E-3"/>
    <n v="1.8885289999999999"/>
    <n v="1.4885289999999998"/>
    <x v="2"/>
    <n v="2.8E-3"/>
    <x v="0"/>
  </r>
  <r>
    <x v="0"/>
    <x v="21"/>
    <n v="4.9800000000000001E-3"/>
    <n v="2.5750000000000002"/>
    <n v="2.1750000000000003"/>
    <x v="6"/>
    <n v="9.9600000000000001E-3"/>
    <x v="0"/>
  </r>
  <r>
    <x v="0"/>
    <x v="10"/>
    <n v="7.26E-3"/>
    <n v="7.7"/>
    <n v="7.3"/>
    <x v="0"/>
    <n v="5.0819999999999997E-2"/>
    <x v="0"/>
  </r>
  <r>
    <x v="0"/>
    <x v="10"/>
    <n v="7.26E-3"/>
    <n v="7.7"/>
    <n v="7.3"/>
    <x v="0"/>
    <n v="5.0819999999999997E-2"/>
    <x v="0"/>
  </r>
  <r>
    <x v="0"/>
    <x v="10"/>
    <n v="7.26E-3"/>
    <n v="7.7"/>
    <n v="7.3"/>
    <x v="0"/>
    <n v="5.0819999999999997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3.65"/>
    <n v="3.25"/>
    <x v="1"/>
    <n v="1.494E-2"/>
    <x v="0"/>
  </r>
  <r>
    <x v="0"/>
    <x v="21"/>
    <n v="4.9800000000000001E-3"/>
    <n v="2.204043"/>
    <n v="1.8040430000000001"/>
    <x v="2"/>
    <n v="4.9800000000000001E-3"/>
    <x v="0"/>
  </r>
  <r>
    <x v="0"/>
    <x v="21"/>
    <n v="4.9800000000000001E-3"/>
    <n v="1.19648"/>
    <n v="0.79647999999999997"/>
    <x v="4"/>
    <n v="0"/>
    <x v="0"/>
  </r>
  <r>
    <x v="0"/>
    <x v="21"/>
    <n v="4.9800000000000001E-3"/>
    <n v="8.2484110000000008"/>
    <n v="7.8484110000000005"/>
    <x v="0"/>
    <n v="3.4860000000000002E-2"/>
    <x v="0"/>
  </r>
  <r>
    <x v="0"/>
    <x v="21"/>
    <n v="4.9800000000000001E-3"/>
    <n v="7.5703339999999999"/>
    <n v="7.1703339999999995"/>
    <x v="0"/>
    <n v="3.4860000000000002E-2"/>
    <x v="0"/>
  </r>
  <r>
    <x v="0"/>
    <x v="21"/>
    <n v="4.9800000000000001E-3"/>
    <n v="3.7351190000000001"/>
    <n v="3.3351190000000002"/>
    <x v="1"/>
    <n v="1.494E-2"/>
    <x v="0"/>
  </r>
  <r>
    <x v="0"/>
    <x v="21"/>
    <n v="4.9800000000000001E-3"/>
    <n v="4.3055180000000002"/>
    <n v="3.9055180000000003"/>
    <x v="1"/>
    <n v="1.494E-2"/>
    <x v="0"/>
  </r>
  <r>
    <x v="0"/>
    <x v="24"/>
    <n v="2.8E-3"/>
    <n v="2.1"/>
    <n v="1.7000000000000002"/>
    <x v="2"/>
    <n v="2.8E-3"/>
    <x v="0"/>
  </r>
  <r>
    <x v="0"/>
    <x v="24"/>
    <n v="2.8E-3"/>
    <n v="2.1"/>
    <n v="1.7000000000000002"/>
    <x v="2"/>
    <n v="2.8E-3"/>
    <x v="0"/>
  </r>
  <r>
    <x v="0"/>
    <x v="24"/>
    <n v="2.8E-3"/>
    <n v="2.1"/>
    <n v="1.7000000000000002"/>
    <x v="2"/>
    <n v="2.8E-3"/>
    <x v="0"/>
  </r>
  <r>
    <x v="0"/>
    <x v="24"/>
    <n v="2.8E-3"/>
    <n v="2.1"/>
    <n v="1.7000000000000002"/>
    <x v="2"/>
    <n v="2.8E-3"/>
    <x v="0"/>
  </r>
  <r>
    <x v="0"/>
    <x v="24"/>
    <n v="2.8E-3"/>
    <n v="2.1"/>
    <n v="1.7000000000000002"/>
    <x v="2"/>
    <n v="2.8E-3"/>
    <x v="0"/>
  </r>
  <r>
    <x v="0"/>
    <x v="21"/>
    <n v="4.9800000000000001E-3"/>
    <n v="8.25"/>
    <n v="7.85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8.25"/>
    <n v="7.85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8.25"/>
    <n v="7.85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8.25"/>
    <n v="7.85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21"/>
    <n v="4.9800000000000001E-3"/>
    <n v="3.5846789999999999"/>
    <n v="3.184679"/>
    <x v="1"/>
    <n v="1.494E-2"/>
    <x v="0"/>
  </r>
  <r>
    <x v="0"/>
    <x v="21"/>
    <n v="4.9800000000000001E-3"/>
    <n v="5.1550000000000002"/>
    <n v="4.7549999999999999"/>
    <x v="3"/>
    <n v="1.992E-2"/>
    <x v="0"/>
  </r>
  <r>
    <x v="0"/>
    <x v="24"/>
    <n v="2.8E-3"/>
    <n v="2.6949999999999998"/>
    <n v="2.2949999999999999"/>
    <x v="6"/>
    <n v="5.5999999999999999E-3"/>
    <x v="0"/>
  </r>
  <r>
    <x v="0"/>
    <x v="24"/>
    <n v="2.8E-3"/>
    <n v="2.6949999999999998"/>
    <n v="2.2949999999999999"/>
    <x v="6"/>
    <n v="5.5999999999999999E-3"/>
    <x v="0"/>
  </r>
  <r>
    <x v="0"/>
    <x v="21"/>
    <n v="4.9800000000000001E-3"/>
    <n v="7.5717629999999998"/>
    <n v="7.1717629999999994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1561769999999996"/>
    <n v="6.7561769999999992"/>
    <x v="5"/>
    <n v="2.988E-2"/>
    <x v="0"/>
  </r>
  <r>
    <x v="0"/>
    <x v="21"/>
    <n v="4.9800000000000001E-3"/>
    <n v="7.4717200000000004"/>
    <n v="7.07172"/>
    <x v="0"/>
    <n v="3.4860000000000002E-2"/>
    <x v="0"/>
  </r>
  <r>
    <x v="0"/>
    <x v="21"/>
    <n v="4.9800000000000001E-3"/>
    <n v="7.7881289999999996"/>
    <n v="7.3881289999999993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6.0549999999999997"/>
    <n v="5.6549999999999994"/>
    <x v="7"/>
    <n v="2.4899999999999999E-2"/>
    <x v="0"/>
  </r>
  <r>
    <x v="0"/>
    <x v="21"/>
    <n v="4.9800000000000001E-3"/>
    <n v="4.96"/>
    <n v="4.5599999999999996"/>
    <x v="3"/>
    <n v="1.992E-2"/>
    <x v="0"/>
  </r>
  <r>
    <x v="0"/>
    <x v="24"/>
    <n v="2.8E-3"/>
    <n v="0.75"/>
    <n v="0.35"/>
    <x v="4"/>
    <n v="0"/>
    <x v="0"/>
  </r>
  <r>
    <x v="0"/>
    <x v="21"/>
    <n v="4.9800000000000001E-3"/>
    <n v="6.75"/>
    <n v="6.35"/>
    <x v="5"/>
    <n v="2.988E-2"/>
    <x v="0"/>
  </r>
  <r>
    <x v="0"/>
    <x v="21"/>
    <n v="4.9800000000000001E-3"/>
    <n v="0.75"/>
    <n v="0.35"/>
    <x v="4"/>
    <n v="0"/>
    <x v="0"/>
  </r>
  <r>
    <x v="0"/>
    <x v="21"/>
    <n v="4.9800000000000001E-3"/>
    <n v="1.095"/>
    <n v="0.69499999999999995"/>
    <x v="4"/>
    <n v="0"/>
    <x v="0"/>
  </r>
  <r>
    <x v="0"/>
    <x v="21"/>
    <n v="4.9800000000000001E-3"/>
    <n v="4.96"/>
    <n v="4.5599999999999996"/>
    <x v="3"/>
    <n v="1.992E-2"/>
    <x v="0"/>
  </r>
  <r>
    <x v="0"/>
    <x v="10"/>
    <n v="7.26E-3"/>
    <n v="4.96"/>
    <n v="4.5599999999999996"/>
    <x v="3"/>
    <n v="2.904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29"/>
    <n v="1.5900000000000001E-2"/>
    <n v="7.5"/>
    <n v="7.1"/>
    <x v="0"/>
    <n v="0.11130000000000001"/>
    <x v="0"/>
  </r>
  <r>
    <x v="0"/>
    <x v="26"/>
    <n v="3.0300000000000001E-2"/>
    <n v="7.5"/>
    <n v="7.1"/>
    <x v="0"/>
    <n v="0.21210000000000001"/>
    <x v="0"/>
  </r>
  <r>
    <x v="0"/>
    <x v="30"/>
    <n v="1.9E-2"/>
    <n v="6.7507239999999999"/>
    <n v="6.3507239999999996"/>
    <x v="5"/>
    <n v="0.11399999999999999"/>
    <x v="1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30"/>
    <n v="1.9E-2"/>
    <n v="7.5"/>
    <n v="7.1"/>
    <x v="0"/>
    <n v="0.13300000000000001"/>
    <x v="1"/>
  </r>
  <r>
    <x v="0"/>
    <x v="27"/>
    <n v="2.2800000000000001E-2"/>
    <n v="7.5"/>
    <n v="7.1"/>
    <x v="0"/>
    <n v="0.15960000000000002"/>
    <x v="1"/>
  </r>
  <r>
    <x v="0"/>
    <x v="26"/>
    <n v="3.0300000000000001E-2"/>
    <n v="10.532999999999999"/>
    <n v="10.132999999999999"/>
    <x v="10"/>
    <n v="0.30299999999999999"/>
    <x v="0"/>
  </r>
  <r>
    <x v="0"/>
    <x v="26"/>
    <n v="3.0300000000000001E-2"/>
    <n v="10.532999999999999"/>
    <n v="10.132999999999999"/>
    <x v="10"/>
    <n v="0.30299999999999999"/>
    <x v="0"/>
  </r>
  <r>
    <x v="0"/>
    <x v="26"/>
    <n v="3.0300000000000001E-2"/>
    <n v="10.532999999999999"/>
    <n v="10.132999999999999"/>
    <x v="10"/>
    <n v="0.30299999999999999"/>
    <x v="0"/>
  </r>
  <r>
    <x v="0"/>
    <x v="26"/>
    <n v="3.0300000000000001E-2"/>
    <n v="10.532999999999999"/>
    <n v="10.132999999999999"/>
    <x v="10"/>
    <n v="0.30299999999999999"/>
    <x v="0"/>
  </r>
  <r>
    <x v="0"/>
    <x v="31"/>
    <n v="8.5500000000000003E-3"/>
    <n v="4.8834900000000001"/>
    <n v="4.4834899999999998"/>
    <x v="3"/>
    <n v="3.4200000000000001E-2"/>
    <x v="1"/>
  </r>
  <r>
    <x v="0"/>
    <x v="32"/>
    <n v="1.78E-2"/>
    <n v="7.5"/>
    <n v="7.1"/>
    <x v="0"/>
    <n v="0.1246"/>
    <x v="0"/>
  </r>
  <r>
    <x v="0"/>
    <x v="32"/>
    <n v="1.78E-2"/>
    <n v="7.5"/>
    <n v="7.1"/>
    <x v="0"/>
    <n v="0.1246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7"/>
    <n v="7.3"/>
    <x v="0"/>
    <n v="0.21210000000000001"/>
    <x v="0"/>
  </r>
  <r>
    <x v="0"/>
    <x v="26"/>
    <n v="3.0300000000000001E-2"/>
    <n v="6.835"/>
    <n v="6.4349999999999996"/>
    <x v="5"/>
    <n v="0.18180000000000002"/>
    <x v="0"/>
  </r>
  <r>
    <x v="0"/>
    <x v="26"/>
    <n v="3.0300000000000001E-2"/>
    <n v="6.835"/>
    <n v="6.4349999999999996"/>
    <x v="5"/>
    <n v="0.18180000000000002"/>
    <x v="0"/>
  </r>
  <r>
    <x v="0"/>
    <x v="22"/>
    <n v="1.55E-2"/>
    <n v="3.74"/>
    <n v="3.3400000000000003"/>
    <x v="1"/>
    <n v="4.65E-2"/>
    <x v="0"/>
  </r>
  <r>
    <x v="0"/>
    <x v="26"/>
    <n v="3.0300000000000001E-2"/>
    <n v="7.7000060000000001"/>
    <n v="7.3000059999999998"/>
    <x v="0"/>
    <n v="0.21210000000000001"/>
    <x v="0"/>
  </r>
  <r>
    <x v="0"/>
    <x v="22"/>
    <n v="1.55E-2"/>
    <n v="7.7"/>
    <n v="7.3"/>
    <x v="0"/>
    <n v="0.1085"/>
    <x v="0"/>
  </r>
  <r>
    <x v="0"/>
    <x v="22"/>
    <n v="1.55E-2"/>
    <n v="7.7"/>
    <n v="7.3"/>
    <x v="0"/>
    <n v="0.1085"/>
    <x v="0"/>
  </r>
  <r>
    <x v="0"/>
    <x v="33"/>
    <n v="1.29E-2"/>
    <n v="7.2839999999999998"/>
    <n v="6.8839999999999995"/>
    <x v="5"/>
    <n v="7.7399999999999997E-2"/>
    <x v="0"/>
  </r>
  <r>
    <x v="0"/>
    <x v="33"/>
    <n v="1.29E-2"/>
    <n v="4.46"/>
    <n v="4.0599999999999996"/>
    <x v="3"/>
    <n v="5.16E-2"/>
    <x v="0"/>
  </r>
  <r>
    <x v="0"/>
    <x v="23"/>
    <n v="6.6600000000000001E-3"/>
    <n v="4.26"/>
    <n v="3.86"/>
    <x v="1"/>
    <n v="1.9980000000000001E-2"/>
    <x v="0"/>
  </r>
  <r>
    <x v="0"/>
    <x v="26"/>
    <n v="3.0300000000000001E-2"/>
    <n v="8.1289999999999996"/>
    <n v="7.7289999999999992"/>
    <x v="0"/>
    <n v="0.21210000000000001"/>
    <x v="0"/>
  </r>
  <r>
    <x v="0"/>
    <x v="29"/>
    <n v="1.5900000000000001E-2"/>
    <n v="6.835"/>
    <n v="6.4349999999999996"/>
    <x v="5"/>
    <n v="9.5400000000000013E-2"/>
    <x v="0"/>
  </r>
  <r>
    <x v="0"/>
    <x v="29"/>
    <n v="1.5900000000000001E-2"/>
    <n v="6.835"/>
    <n v="6.4349999999999996"/>
    <x v="5"/>
    <n v="9.5400000000000013E-2"/>
    <x v="0"/>
  </r>
  <r>
    <x v="0"/>
    <x v="23"/>
    <n v="6.6600000000000001E-3"/>
    <n v="3.74"/>
    <n v="3.3400000000000003"/>
    <x v="1"/>
    <n v="1.9980000000000001E-2"/>
    <x v="0"/>
  </r>
  <r>
    <x v="0"/>
    <x v="33"/>
    <n v="1.29E-2"/>
    <n v="7.2839999999999998"/>
    <n v="6.8839999999999995"/>
    <x v="5"/>
    <n v="7.7399999999999997E-2"/>
    <x v="0"/>
  </r>
  <r>
    <x v="0"/>
    <x v="33"/>
    <n v="1.29E-2"/>
    <n v="4.46"/>
    <n v="4.0599999999999996"/>
    <x v="3"/>
    <n v="5.16E-2"/>
    <x v="0"/>
  </r>
  <r>
    <x v="0"/>
    <x v="22"/>
    <n v="1.55E-2"/>
    <n v="7.7"/>
    <n v="7.3"/>
    <x v="0"/>
    <n v="0.1085"/>
    <x v="0"/>
  </r>
  <r>
    <x v="0"/>
    <x v="22"/>
    <n v="1.55E-2"/>
    <n v="7.7"/>
    <n v="7.3"/>
    <x v="0"/>
    <n v="0.1085"/>
    <x v="0"/>
  </r>
  <r>
    <x v="0"/>
    <x v="23"/>
    <n v="6.6600000000000001E-3"/>
    <n v="3.7181500000000001"/>
    <n v="3.3181500000000002"/>
    <x v="1"/>
    <n v="1.9980000000000001E-2"/>
    <x v="0"/>
  </r>
  <r>
    <x v="0"/>
    <x v="31"/>
    <n v="8.5500000000000003E-3"/>
    <n v="3.75"/>
    <n v="3.35"/>
    <x v="1"/>
    <n v="2.5649999999999999E-2"/>
    <x v="1"/>
  </r>
  <r>
    <x v="0"/>
    <x v="22"/>
    <n v="1.55E-2"/>
    <n v="5.1550000000000002"/>
    <n v="4.7549999999999999"/>
    <x v="3"/>
    <n v="6.2E-2"/>
    <x v="0"/>
  </r>
  <r>
    <x v="0"/>
    <x v="22"/>
    <n v="1.55E-2"/>
    <n v="5.1550000000000002"/>
    <n v="4.7549999999999999"/>
    <x v="3"/>
    <n v="6.2E-2"/>
    <x v="0"/>
  </r>
  <r>
    <x v="0"/>
    <x v="22"/>
    <n v="1.55E-2"/>
    <n v="5.1550000000000002"/>
    <n v="4.7549999999999999"/>
    <x v="3"/>
    <n v="6.2E-2"/>
    <x v="0"/>
  </r>
  <r>
    <x v="0"/>
    <x v="22"/>
    <n v="1.55E-2"/>
    <n v="5.1550000000000002"/>
    <n v="4.7549999999999999"/>
    <x v="3"/>
    <n v="6.2E-2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3"/>
    <n v="6.6600000000000001E-3"/>
    <n v="4.26"/>
    <n v="3.86"/>
    <x v="1"/>
    <n v="1.9980000000000001E-2"/>
    <x v="0"/>
  </r>
  <r>
    <x v="0"/>
    <x v="34"/>
    <n v="8.5599999999999999E-3"/>
    <n v="3.74"/>
    <n v="3.3400000000000003"/>
    <x v="1"/>
    <n v="2.5680000000000001E-2"/>
    <x v="0"/>
  </r>
  <r>
    <x v="0"/>
    <x v="23"/>
    <n v="6.6600000000000001E-3"/>
    <n v="4.26"/>
    <n v="3.86"/>
    <x v="1"/>
    <n v="1.9980000000000001E-2"/>
    <x v="0"/>
  </r>
  <r>
    <x v="0"/>
    <x v="35"/>
    <n v="1.0500000000000001E-2"/>
    <n v="8.1340000000000003"/>
    <n v="7.734"/>
    <x v="0"/>
    <n v="7.350000000000001E-2"/>
    <x v="0"/>
  </r>
  <r>
    <x v="0"/>
    <x v="35"/>
    <n v="1.0500000000000001E-2"/>
    <n v="8.1340000000000003"/>
    <n v="7.734"/>
    <x v="0"/>
    <n v="7.350000000000001E-2"/>
    <x v="0"/>
  </r>
  <r>
    <x v="0"/>
    <x v="26"/>
    <n v="3.0300000000000001E-2"/>
    <n v="8.1289999999999996"/>
    <n v="7.7289999999999992"/>
    <x v="0"/>
    <n v="0.21210000000000001"/>
    <x v="0"/>
  </r>
  <r>
    <x v="0"/>
    <x v="23"/>
    <n v="6.6600000000000001E-3"/>
    <n v="4.26"/>
    <n v="3.86"/>
    <x v="1"/>
    <n v="1.9980000000000001E-2"/>
    <x v="0"/>
  </r>
  <r>
    <x v="0"/>
    <x v="10"/>
    <n v="7.26E-3"/>
    <n v="5.1550000000000002"/>
    <n v="4.7549999999999999"/>
    <x v="3"/>
    <n v="2.904E-2"/>
    <x v="0"/>
  </r>
  <r>
    <x v="0"/>
    <x v="10"/>
    <n v="7.26E-3"/>
    <n v="7.5"/>
    <n v="7.1"/>
    <x v="0"/>
    <n v="5.0819999999999997E-2"/>
    <x v="0"/>
  </r>
  <r>
    <x v="0"/>
    <x v="10"/>
    <n v="7.26E-3"/>
    <n v="5.1550000000000002"/>
    <n v="4.7549999999999999"/>
    <x v="3"/>
    <n v="2.904E-2"/>
    <x v="0"/>
  </r>
  <r>
    <x v="0"/>
    <x v="21"/>
    <n v="4.9800000000000001E-3"/>
    <n v="0.75"/>
    <n v="0.35"/>
    <x v="4"/>
    <n v="0"/>
    <x v="0"/>
  </r>
  <r>
    <x v="0"/>
    <x v="21"/>
    <n v="4.9800000000000001E-3"/>
    <n v="6.0549999999999997"/>
    <n v="5.6549999999999994"/>
    <x v="7"/>
    <n v="2.4899999999999999E-2"/>
    <x v="0"/>
  </r>
  <r>
    <x v="0"/>
    <x v="10"/>
    <n v="7.26E-3"/>
    <n v="7.5"/>
    <n v="7.1"/>
    <x v="0"/>
    <n v="5.0819999999999997E-2"/>
    <x v="0"/>
  </r>
  <r>
    <x v="0"/>
    <x v="21"/>
    <n v="4.9800000000000001E-3"/>
    <n v="7.2839999999999998"/>
    <n v="6.8839999999999995"/>
    <x v="5"/>
    <n v="2.988E-2"/>
    <x v="0"/>
  </r>
  <r>
    <x v="0"/>
    <x v="21"/>
    <n v="4.9800000000000001E-3"/>
    <n v="7.2839999999999998"/>
    <n v="6.8839999999999995"/>
    <x v="5"/>
    <n v="2.988E-2"/>
    <x v="0"/>
  </r>
  <r>
    <x v="0"/>
    <x v="21"/>
    <n v="4.9800000000000001E-3"/>
    <n v="7.2839999999999998"/>
    <n v="6.8839999999999995"/>
    <x v="5"/>
    <n v="2.98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5.1550000000000002"/>
    <n v="4.7549999999999999"/>
    <x v="3"/>
    <n v="1.99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2.575005"/>
    <n v="2.1750050000000001"/>
    <x v="6"/>
    <n v="9.9600000000000001E-3"/>
    <x v="0"/>
  </r>
  <r>
    <x v="0"/>
    <x v="21"/>
    <n v="4.9800000000000001E-3"/>
    <n v="3.6022270000000001"/>
    <n v="3.2022270000000002"/>
    <x v="1"/>
    <n v="1.494E-2"/>
    <x v="0"/>
  </r>
  <r>
    <x v="0"/>
    <x v="21"/>
    <n v="4.9800000000000001E-3"/>
    <n v="3.61"/>
    <n v="3.21"/>
    <x v="1"/>
    <n v="1.494E-2"/>
    <x v="0"/>
  </r>
  <r>
    <x v="0"/>
    <x v="21"/>
    <n v="4.9800000000000001E-3"/>
    <n v="3.61"/>
    <n v="3.21"/>
    <x v="1"/>
    <n v="1.494E-2"/>
    <x v="0"/>
  </r>
  <r>
    <x v="0"/>
    <x v="24"/>
    <n v="2.8E-3"/>
    <n v="2.786"/>
    <n v="2.3860000000000001"/>
    <x v="6"/>
    <n v="5.5999999999999999E-3"/>
    <x v="0"/>
  </r>
  <r>
    <x v="0"/>
    <x v="21"/>
    <n v="4.9800000000000001E-3"/>
    <n v="7.276643"/>
    <n v="6.8766429999999996"/>
    <x v="5"/>
    <n v="2.988E-2"/>
    <x v="0"/>
  </r>
  <r>
    <x v="0"/>
    <x v="24"/>
    <n v="2.8E-3"/>
    <n v="1.48"/>
    <n v="1.08"/>
    <x v="2"/>
    <n v="2.8E-3"/>
    <x v="0"/>
  </r>
  <r>
    <x v="0"/>
    <x v="24"/>
    <n v="2.8E-3"/>
    <n v="1.48"/>
    <n v="1.08"/>
    <x v="2"/>
    <n v="2.8E-3"/>
    <x v="0"/>
  </r>
  <r>
    <x v="0"/>
    <x v="21"/>
    <n v="4.9800000000000001E-3"/>
    <n v="2.4398170000000001"/>
    <n v="2.0398170000000002"/>
    <x v="6"/>
    <n v="9.9600000000000001E-3"/>
    <x v="0"/>
  </r>
  <r>
    <x v="0"/>
    <x v="21"/>
    <n v="4.9800000000000001E-3"/>
    <n v="7.3940950000000001"/>
    <n v="6.9940949999999997"/>
    <x v="5"/>
    <n v="2.988E-2"/>
    <x v="0"/>
  </r>
  <r>
    <x v="0"/>
    <x v="21"/>
    <n v="4.9800000000000001E-3"/>
    <n v="7.3940950000000001"/>
    <n v="6.9940949999999997"/>
    <x v="5"/>
    <n v="2.988E-2"/>
    <x v="0"/>
  </r>
  <r>
    <x v="0"/>
    <x v="22"/>
    <n v="1.55E-2"/>
    <n v="3.710601"/>
    <n v="3.3106010000000001"/>
    <x v="1"/>
    <n v="4.65E-2"/>
    <x v="0"/>
  </r>
  <r>
    <x v="0"/>
    <x v="26"/>
    <n v="3.0300000000000001E-2"/>
    <n v="7.6112789999999997"/>
    <n v="7.2112789999999993"/>
    <x v="0"/>
    <n v="0.21210000000000001"/>
    <x v="0"/>
  </r>
  <r>
    <x v="0"/>
    <x v="23"/>
    <n v="6.6600000000000001E-3"/>
    <n v="3.75"/>
    <n v="3.35"/>
    <x v="1"/>
    <n v="1.9980000000000001E-2"/>
    <x v="0"/>
  </r>
  <r>
    <x v="0"/>
    <x v="21"/>
    <n v="4.9800000000000001E-3"/>
    <n v="4.0869470000000003"/>
    <n v="3.6869470000000004"/>
    <x v="1"/>
    <n v="1.494E-2"/>
    <x v="0"/>
  </r>
  <r>
    <x v="0"/>
    <x v="22"/>
    <n v="1.55E-2"/>
    <n v="7.5"/>
    <n v="7.1"/>
    <x v="0"/>
    <n v="0.1085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22"/>
    <n v="1.55E-2"/>
    <n v="3.75"/>
    <n v="3.35"/>
    <x v="1"/>
    <n v="4.65E-2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9"/>
    <n v="1.5900000000000001E-2"/>
    <n v="9.4921019999999992"/>
    <n v="9.0921019999999988"/>
    <x v="9"/>
    <n v="0.1431"/>
    <x v="0"/>
  </r>
  <r>
    <x v="0"/>
    <x v="23"/>
    <n v="6.6600000000000001E-3"/>
    <n v="3.75"/>
    <n v="3.35"/>
    <x v="1"/>
    <n v="1.9980000000000001E-2"/>
    <x v="0"/>
  </r>
  <r>
    <x v="0"/>
    <x v="22"/>
    <n v="1.55E-2"/>
    <n v="7.5"/>
    <n v="7.1"/>
    <x v="0"/>
    <n v="0.1085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6.4"/>
    <n v="6"/>
    <x v="5"/>
    <n v="9.2999999999999999E-2"/>
    <x v="0"/>
  </r>
  <r>
    <x v="0"/>
    <x v="22"/>
    <n v="1.55E-2"/>
    <n v="6.4"/>
    <n v="6"/>
    <x v="5"/>
    <n v="9.2999999999999999E-2"/>
    <x v="0"/>
  </r>
  <r>
    <x v="0"/>
    <x v="22"/>
    <n v="1.55E-2"/>
    <n v="7.5"/>
    <n v="7.1"/>
    <x v="0"/>
    <n v="0.1085"/>
    <x v="0"/>
  </r>
  <r>
    <x v="0"/>
    <x v="21"/>
    <n v="4.9800000000000001E-3"/>
    <n v="3.75"/>
    <n v="3.35"/>
    <x v="1"/>
    <n v="1.494E-2"/>
    <x v="0"/>
  </r>
  <r>
    <x v="0"/>
    <x v="21"/>
    <n v="4.9800000000000001E-3"/>
    <n v="4.9850000000000003"/>
    <n v="4.585"/>
    <x v="3"/>
    <n v="1.99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3.75"/>
    <n v="3.35"/>
    <x v="1"/>
    <n v="1.494E-2"/>
    <x v="0"/>
  </r>
  <r>
    <x v="0"/>
    <x v="21"/>
    <n v="4.9800000000000001E-3"/>
    <n v="3.75"/>
    <n v="3.35"/>
    <x v="1"/>
    <n v="1.494E-2"/>
    <x v="0"/>
  </r>
  <r>
    <x v="0"/>
    <x v="21"/>
    <n v="4.9800000000000001E-3"/>
    <n v="3.75"/>
    <n v="3.35"/>
    <x v="1"/>
    <n v="1.494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4.6882539999999997"/>
    <n v="4.2882539999999993"/>
    <x v="3"/>
    <n v="1.992E-2"/>
    <x v="0"/>
  </r>
  <r>
    <x v="0"/>
    <x v="21"/>
    <n v="4.9800000000000001E-3"/>
    <n v="2.282143"/>
    <n v="1.8821430000000001"/>
    <x v="2"/>
    <n v="4.980000000000000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2.16"/>
    <n v="1.7600000000000002"/>
    <x v="2"/>
    <n v="4.9800000000000001E-3"/>
    <x v="0"/>
  </r>
  <r>
    <x v="0"/>
    <x v="21"/>
    <n v="4.9800000000000001E-3"/>
    <n v="2.69"/>
    <n v="2.29"/>
    <x v="6"/>
    <n v="9.960000000000000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2.69"/>
    <n v="2.29"/>
    <x v="6"/>
    <n v="9.9600000000000001E-3"/>
    <x v="0"/>
  </r>
  <r>
    <x v="0"/>
    <x v="21"/>
    <n v="4.9800000000000001E-3"/>
    <n v="2.16"/>
    <n v="1.7600000000000002"/>
    <x v="2"/>
    <n v="4.980000000000000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4"/>
    <n v="2.8E-3"/>
    <n v="3.23"/>
    <n v="2.83"/>
    <x v="6"/>
    <n v="5.5999999999999999E-3"/>
    <x v="0"/>
  </r>
  <r>
    <x v="0"/>
    <x v="24"/>
    <n v="2.8E-3"/>
    <n v="3.23"/>
    <n v="2.83"/>
    <x v="6"/>
    <n v="5.5999999999999999E-3"/>
    <x v="0"/>
  </r>
  <r>
    <x v="1"/>
    <x v="5"/>
    <n v="8.5500000000000003E-3"/>
    <n v="7.5"/>
    <n v="7.1"/>
    <x v="0"/>
    <n v="5.985E-2"/>
    <x v="0"/>
  </r>
  <r>
    <x v="1"/>
    <x v="5"/>
    <n v="8.5500000000000003E-3"/>
    <n v="7.5"/>
    <n v="7.1"/>
    <x v="0"/>
    <n v="5.985E-2"/>
    <x v="0"/>
  </r>
  <r>
    <x v="0"/>
    <x v="37"/>
    <n v="3.5899999999999999E-3"/>
    <n v="5.0013690000000004"/>
    <n v="4.601369"/>
    <x v="3"/>
    <n v="1.436E-2"/>
    <x v="0"/>
  </r>
  <r>
    <x v="0"/>
    <x v="38"/>
    <n v="1.17E-2"/>
    <n v="7.6109679999999997"/>
    <n v="7.2109679999999994"/>
    <x v="0"/>
    <n v="8.1900000000000001E-2"/>
    <x v="0"/>
  </r>
  <r>
    <x v="0"/>
    <x v="23"/>
    <n v="6.6600000000000001E-3"/>
    <n v="7.610773"/>
    <n v="7.2107729999999997"/>
    <x v="0"/>
    <n v="4.6620000000000002E-2"/>
    <x v="0"/>
  </r>
  <r>
    <x v="0"/>
    <x v="23"/>
    <n v="6.6600000000000001E-3"/>
    <n v="7.609693"/>
    <n v="7.2096929999999997"/>
    <x v="0"/>
    <n v="4.6620000000000002E-2"/>
    <x v="0"/>
  </r>
  <r>
    <x v="0"/>
    <x v="24"/>
    <n v="2.8E-3"/>
    <n v="3.3607900000000002"/>
    <n v="2.9607900000000003"/>
    <x v="6"/>
    <n v="5.5999999999999999E-3"/>
    <x v="0"/>
  </r>
  <r>
    <x v="0"/>
    <x v="24"/>
    <n v="2.8E-3"/>
    <n v="2.864474"/>
    <n v="2.4644740000000001"/>
    <x v="6"/>
    <n v="5.5999999999999999E-3"/>
    <x v="0"/>
  </r>
  <r>
    <x v="0"/>
    <x v="39"/>
    <n v="3.2000000000000002E-3"/>
    <n v="3.5658880000000002"/>
    <n v="3.1658880000000003"/>
    <x v="1"/>
    <n v="9.6000000000000009E-3"/>
    <x v="0"/>
  </r>
  <r>
    <x v="0"/>
    <x v="24"/>
    <n v="2.8E-3"/>
    <n v="2.26892"/>
    <n v="1.8689200000000001"/>
    <x v="2"/>
    <n v="2.8E-3"/>
    <x v="0"/>
  </r>
  <r>
    <x v="0"/>
    <x v="24"/>
    <n v="2.8E-3"/>
    <n v="6.1598839999999999"/>
    <n v="5.7598839999999996"/>
    <x v="7"/>
    <n v="1.4E-2"/>
    <x v="0"/>
  </r>
  <r>
    <x v="0"/>
    <x v="28"/>
    <n v="5.7299999999999999E-3"/>
    <n v="4.8628819999999999"/>
    <n v="4.4628819999999996"/>
    <x v="3"/>
    <n v="2.2919999999999999E-2"/>
    <x v="0"/>
  </r>
  <r>
    <x v="0"/>
    <x v="24"/>
    <n v="2.8E-3"/>
    <n v="3.35"/>
    <n v="2.95"/>
    <x v="6"/>
    <n v="5.5999999999999999E-3"/>
    <x v="0"/>
  </r>
  <r>
    <x v="0"/>
    <x v="24"/>
    <n v="2.8E-3"/>
    <n v="1.843"/>
    <n v="1.4430000000000001"/>
    <x v="2"/>
    <n v="2.8E-3"/>
    <x v="0"/>
  </r>
  <r>
    <x v="0"/>
    <x v="37"/>
    <n v="3.5899999999999999E-3"/>
    <n v="4.875"/>
    <n v="4.4749999999999996"/>
    <x v="3"/>
    <n v="1.436E-2"/>
    <x v="0"/>
  </r>
  <r>
    <x v="0"/>
    <x v="24"/>
    <n v="2.8E-3"/>
    <n v="1.843"/>
    <n v="1.4430000000000001"/>
    <x v="2"/>
    <n v="2.8E-3"/>
    <x v="0"/>
  </r>
  <r>
    <x v="0"/>
    <x v="40"/>
    <n v="4.1799999999999997E-3"/>
    <n v="7.9950000000000001"/>
    <n v="7.5949999999999998"/>
    <x v="0"/>
    <n v="2.9259999999999998E-2"/>
    <x v="0"/>
  </r>
  <r>
    <x v="0"/>
    <x v="23"/>
    <n v="6.6600000000000001E-3"/>
    <n v="7.67"/>
    <n v="7.27"/>
    <x v="0"/>
    <n v="4.6620000000000002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4"/>
    <x v="41"/>
    <n v="3.5100000000000001E-3"/>
    <n v="4.2126710000000003"/>
    <n v="3.8126710000000004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55"/>
    <n v="3.15"/>
    <x v="1"/>
    <n v="8.3999999999999995E-3"/>
    <x v="0"/>
  </r>
  <r>
    <x v="0"/>
    <x v="24"/>
    <n v="2.8E-3"/>
    <n v="1.8"/>
    <n v="1.4"/>
    <x v="2"/>
    <n v="2.8E-3"/>
    <x v="0"/>
  </r>
  <r>
    <x v="0"/>
    <x v="38"/>
    <n v="1.17E-2"/>
    <n v="4.875"/>
    <n v="4.4749999999999996"/>
    <x v="3"/>
    <n v="4.6800000000000001E-2"/>
    <x v="0"/>
  </r>
  <r>
    <x v="0"/>
    <x v="24"/>
    <n v="2.8E-3"/>
    <n v="1.13764"/>
    <n v="0.73763999999999996"/>
    <x v="4"/>
    <n v="0"/>
    <x v="0"/>
  </r>
  <r>
    <x v="0"/>
    <x v="24"/>
    <n v="2.8E-3"/>
    <n v="3.55"/>
    <n v="3.15"/>
    <x v="1"/>
    <n v="8.3999999999999995E-3"/>
    <x v="0"/>
  </r>
  <r>
    <x v="0"/>
    <x v="24"/>
    <n v="2.8E-3"/>
    <n v="3.15"/>
    <n v="2.75"/>
    <x v="6"/>
    <n v="5.5999999999999999E-3"/>
    <x v="0"/>
  </r>
  <r>
    <x v="0"/>
    <x v="38"/>
    <n v="1.17E-2"/>
    <n v="1.24"/>
    <n v="0.84"/>
    <x v="4"/>
    <n v="0"/>
    <x v="0"/>
  </r>
  <r>
    <x v="0"/>
    <x v="24"/>
    <n v="2.8E-3"/>
    <n v="3.15"/>
    <n v="2.75"/>
    <x v="6"/>
    <n v="5.5999999999999999E-3"/>
    <x v="0"/>
  </r>
  <r>
    <x v="0"/>
    <x v="38"/>
    <n v="1.17E-2"/>
    <n v="4.625"/>
    <n v="4.2249999999999996"/>
    <x v="3"/>
    <n v="4.6800000000000001E-2"/>
    <x v="0"/>
  </r>
  <r>
    <x v="0"/>
    <x v="24"/>
    <n v="2.8E-3"/>
    <n v="3.55"/>
    <n v="3.15"/>
    <x v="1"/>
    <n v="8.3999999999999995E-3"/>
    <x v="0"/>
  </r>
  <r>
    <x v="0"/>
    <x v="24"/>
    <n v="2.8E-3"/>
    <n v="1.13764"/>
    <n v="0.73763999999999996"/>
    <x v="4"/>
    <n v="0"/>
    <x v="0"/>
  </r>
  <r>
    <x v="0"/>
    <x v="24"/>
    <n v="2.8E-3"/>
    <n v="1.8"/>
    <n v="1.4"/>
    <x v="2"/>
    <n v="2.8E-3"/>
    <x v="0"/>
  </r>
  <r>
    <x v="0"/>
    <x v="24"/>
    <n v="2.8E-3"/>
    <n v="3.55"/>
    <n v="3.15"/>
    <x v="1"/>
    <n v="8.3999999999999995E-3"/>
    <x v="0"/>
  </r>
  <r>
    <x v="0"/>
    <x v="38"/>
    <n v="1.17E-2"/>
    <n v="1.24"/>
    <n v="0.84"/>
    <x v="4"/>
    <n v="0"/>
    <x v="0"/>
  </r>
  <r>
    <x v="1"/>
    <x v="5"/>
    <n v="8.5500000000000003E-3"/>
    <n v="1.21031"/>
    <n v="0.81030999999999997"/>
    <x v="4"/>
    <n v="0"/>
    <x v="0"/>
  </r>
  <r>
    <x v="0"/>
    <x v="24"/>
    <n v="2.8E-3"/>
    <n v="4.3499999999999996"/>
    <n v="3.9499999999999997"/>
    <x v="1"/>
    <n v="8.3999999999999995E-3"/>
    <x v="0"/>
  </r>
  <r>
    <x v="1"/>
    <x v="5"/>
    <n v="8.5500000000000003E-3"/>
    <n v="1.21031"/>
    <n v="0.81030999999999997"/>
    <x v="4"/>
    <n v="0"/>
    <x v="0"/>
  </r>
  <r>
    <x v="0"/>
    <x v="24"/>
    <n v="2.8E-3"/>
    <n v="4.3499999999999996"/>
    <n v="3.9499999999999997"/>
    <x v="1"/>
    <n v="8.3999999999999995E-3"/>
    <x v="0"/>
  </r>
  <r>
    <x v="0"/>
    <x v="23"/>
    <n v="6.6600000000000001E-3"/>
    <n v="1.2250000000000001"/>
    <n v="0.82500000000000007"/>
    <x v="4"/>
    <n v="0"/>
    <x v="0"/>
  </r>
  <r>
    <x v="0"/>
    <x v="23"/>
    <n v="6.6600000000000001E-3"/>
    <n v="1.24"/>
    <n v="0.84"/>
    <x v="4"/>
    <n v="0"/>
    <x v="0"/>
  </r>
  <r>
    <x v="0"/>
    <x v="23"/>
    <n v="6.6600000000000001E-3"/>
    <n v="1.2250000000000001"/>
    <n v="0.82500000000000007"/>
    <x v="4"/>
    <n v="0"/>
    <x v="0"/>
  </r>
  <r>
    <x v="0"/>
    <x v="23"/>
    <n v="6.6600000000000001E-3"/>
    <n v="1.24"/>
    <n v="0.84"/>
    <x v="4"/>
    <n v="0"/>
    <x v="0"/>
  </r>
  <r>
    <x v="0"/>
    <x v="37"/>
    <n v="3.5899999999999999E-3"/>
    <n v="7.95"/>
    <n v="7.55"/>
    <x v="0"/>
    <n v="2.513E-2"/>
    <x v="0"/>
  </r>
  <r>
    <x v="0"/>
    <x v="37"/>
    <n v="3.5899999999999999E-3"/>
    <n v="7.95"/>
    <n v="7.55"/>
    <x v="0"/>
    <n v="2.513E-2"/>
    <x v="0"/>
  </r>
  <r>
    <x v="0"/>
    <x v="43"/>
    <n v="4.2100000000000002E-3"/>
    <n v="7.95"/>
    <n v="7.55"/>
    <x v="0"/>
    <n v="2.9470000000000003E-2"/>
    <x v="0"/>
  </r>
  <r>
    <x v="0"/>
    <x v="23"/>
    <n v="6.6600000000000001E-3"/>
    <n v="3.74"/>
    <n v="3.3400000000000003"/>
    <x v="1"/>
    <n v="1.9980000000000001E-2"/>
    <x v="0"/>
  </r>
  <r>
    <x v="0"/>
    <x v="34"/>
    <n v="8.5599999999999999E-3"/>
    <n v="6.835"/>
    <n v="6.4349999999999996"/>
    <x v="5"/>
    <n v="5.1360000000000003E-2"/>
    <x v="0"/>
  </r>
  <r>
    <x v="0"/>
    <x v="34"/>
    <n v="8.5599999999999999E-3"/>
    <n v="6.835"/>
    <n v="6.4349999999999996"/>
    <x v="5"/>
    <n v="5.1360000000000003E-2"/>
    <x v="0"/>
  </r>
  <r>
    <x v="0"/>
    <x v="24"/>
    <n v="2.8E-3"/>
    <n v="2.093"/>
    <n v="1.6930000000000001"/>
    <x v="2"/>
    <n v="2.8E-3"/>
    <x v="0"/>
  </r>
  <r>
    <x v="0"/>
    <x v="24"/>
    <n v="2.8E-3"/>
    <n v="3.35"/>
    <n v="2.95"/>
    <x v="6"/>
    <n v="5.5999999999999999E-3"/>
    <x v="0"/>
  </r>
  <r>
    <x v="0"/>
    <x v="24"/>
    <n v="2.8E-3"/>
    <n v="3.35"/>
    <n v="2.95"/>
    <x v="6"/>
    <n v="5.5999999999999999E-3"/>
    <x v="0"/>
  </r>
  <r>
    <x v="0"/>
    <x v="37"/>
    <n v="3.5899999999999999E-3"/>
    <n v="4.625"/>
    <n v="4.2249999999999996"/>
    <x v="3"/>
    <n v="1.436E-2"/>
    <x v="0"/>
  </r>
  <r>
    <x v="0"/>
    <x v="23"/>
    <n v="6.6600000000000001E-3"/>
    <n v="6.718"/>
    <n v="6.3179999999999996"/>
    <x v="5"/>
    <n v="3.9960000000000002E-2"/>
    <x v="0"/>
  </r>
  <r>
    <x v="0"/>
    <x v="24"/>
    <n v="2.8E-3"/>
    <n v="1.7324120000000001"/>
    <n v="1.3324120000000002"/>
    <x v="2"/>
    <n v="2.8E-3"/>
    <x v="0"/>
  </r>
  <r>
    <x v="0"/>
    <x v="24"/>
    <n v="2.8E-3"/>
    <n v="1.24"/>
    <n v="0.84"/>
    <x v="4"/>
    <n v="0"/>
    <x v="0"/>
  </r>
  <r>
    <x v="0"/>
    <x v="43"/>
    <n v="4.2100000000000002E-3"/>
    <n v="4.3499999999999996"/>
    <n v="3.9499999999999997"/>
    <x v="1"/>
    <n v="1.2630000000000001E-2"/>
    <x v="0"/>
  </r>
  <r>
    <x v="0"/>
    <x v="24"/>
    <n v="2.8E-3"/>
    <n v="1.36683"/>
    <n v="0.96682999999999997"/>
    <x v="4"/>
    <n v="0"/>
    <x v="0"/>
  </r>
  <r>
    <x v="0"/>
    <x v="24"/>
    <n v="2.8E-3"/>
    <n v="3.7749999999999999"/>
    <n v="3.375"/>
    <x v="1"/>
    <n v="8.3999999999999995E-3"/>
    <x v="0"/>
  </r>
  <r>
    <x v="0"/>
    <x v="24"/>
    <n v="2.8E-3"/>
    <n v="3.35"/>
    <n v="2.95"/>
    <x v="6"/>
    <n v="5.5999999999999999E-3"/>
    <x v="0"/>
  </r>
  <r>
    <x v="0"/>
    <x v="24"/>
    <n v="2.8E-3"/>
    <n v="1.24"/>
    <n v="0.84"/>
    <x v="4"/>
    <n v="0"/>
    <x v="0"/>
  </r>
  <r>
    <x v="0"/>
    <x v="24"/>
    <n v="2.8E-3"/>
    <n v="1.36683"/>
    <n v="0.96682999999999997"/>
    <x v="4"/>
    <n v="0"/>
    <x v="0"/>
  </r>
  <r>
    <x v="0"/>
    <x v="24"/>
    <n v="2.8E-3"/>
    <n v="3.7749999999999999"/>
    <n v="3.375"/>
    <x v="1"/>
    <n v="8.3999999999999995E-3"/>
    <x v="0"/>
  </r>
  <r>
    <x v="0"/>
    <x v="43"/>
    <n v="4.2100000000000002E-3"/>
    <n v="4.3499999999999996"/>
    <n v="3.9499999999999997"/>
    <x v="1"/>
    <n v="1.2630000000000001E-2"/>
    <x v="0"/>
  </r>
  <r>
    <x v="0"/>
    <x v="23"/>
    <n v="6.6600000000000001E-3"/>
    <n v="6.718"/>
    <n v="6.3179999999999996"/>
    <x v="5"/>
    <n v="3.9960000000000002E-2"/>
    <x v="0"/>
  </r>
  <r>
    <x v="0"/>
    <x v="24"/>
    <n v="2.8E-3"/>
    <n v="1.7324120000000001"/>
    <n v="1.3324120000000002"/>
    <x v="2"/>
    <n v="2.8E-3"/>
    <x v="0"/>
  </r>
  <r>
    <x v="0"/>
    <x v="23"/>
    <n v="6.6600000000000001E-3"/>
    <n v="3.968"/>
    <n v="3.5680000000000001"/>
    <x v="1"/>
    <n v="1.9980000000000001E-2"/>
    <x v="0"/>
  </r>
  <r>
    <x v="0"/>
    <x v="23"/>
    <n v="6.6600000000000001E-3"/>
    <n v="3.968"/>
    <n v="3.5680000000000001"/>
    <x v="1"/>
    <n v="1.9980000000000001E-2"/>
    <x v="0"/>
  </r>
  <r>
    <x v="0"/>
    <x v="23"/>
    <n v="6.6600000000000001E-3"/>
    <n v="4.2530000000000001"/>
    <n v="3.8530000000000002"/>
    <x v="1"/>
    <n v="1.9980000000000001E-2"/>
    <x v="0"/>
  </r>
  <r>
    <x v="0"/>
    <x v="23"/>
    <n v="6.6600000000000001E-3"/>
    <n v="4.2530000000000001"/>
    <n v="3.8530000000000002"/>
    <x v="1"/>
    <n v="1.9980000000000001E-2"/>
    <x v="0"/>
  </r>
  <r>
    <x v="0"/>
    <x v="44"/>
    <n v="1.0500000000000001E-2"/>
    <n v="9.9499999999999993"/>
    <n v="9.5499999999999989"/>
    <x v="9"/>
    <n v="9.4500000000000001E-2"/>
    <x v="0"/>
  </r>
  <r>
    <x v="0"/>
    <x v="24"/>
    <n v="2.8E-3"/>
    <n v="3.7450000000000001"/>
    <n v="3.3450000000000002"/>
    <x v="1"/>
    <n v="8.3999999999999995E-3"/>
    <x v="0"/>
  </r>
  <r>
    <x v="0"/>
    <x v="32"/>
    <n v="1.78E-2"/>
    <n v="9"/>
    <n v="8.6"/>
    <x v="11"/>
    <n v="0.1424"/>
    <x v="0"/>
  </r>
  <r>
    <x v="0"/>
    <x v="44"/>
    <n v="1.0500000000000001E-2"/>
    <n v="9"/>
    <n v="8.6"/>
    <x v="11"/>
    <n v="8.4000000000000005E-2"/>
    <x v="0"/>
  </r>
  <r>
    <x v="0"/>
    <x v="24"/>
    <n v="2.8E-3"/>
    <n v="4.5891229999999998"/>
    <n v="4.1891229999999995"/>
    <x v="3"/>
    <n v="1.12E-2"/>
    <x v="0"/>
  </r>
  <r>
    <x v="0"/>
    <x v="45"/>
    <n v="9.4500000000000001E-3"/>
    <n v="7.5"/>
    <n v="7.1"/>
    <x v="0"/>
    <n v="6.615E-2"/>
    <x v="0"/>
  </r>
  <r>
    <x v="0"/>
    <x v="40"/>
    <n v="4.1799999999999997E-3"/>
    <n v="7.7450000000000001"/>
    <n v="7.3449999999999998"/>
    <x v="0"/>
    <n v="2.9259999999999998E-2"/>
    <x v="0"/>
  </r>
  <r>
    <x v="0"/>
    <x v="46"/>
    <n v="3.6099999999999999E-3"/>
    <n v="4.7450000000000001"/>
    <n v="4.3449999999999998"/>
    <x v="3"/>
    <n v="1.444E-2"/>
    <x v="0"/>
  </r>
  <r>
    <x v="0"/>
    <x v="24"/>
    <n v="2.8E-3"/>
    <n v="4.12"/>
    <n v="3.72"/>
    <x v="1"/>
    <n v="8.3999999999999995E-3"/>
    <x v="0"/>
  </r>
  <r>
    <x v="0"/>
    <x v="24"/>
    <n v="2.8E-3"/>
    <n v="4.2"/>
    <n v="3.8000000000000003"/>
    <x v="1"/>
    <n v="8.3999999999999995E-3"/>
    <x v="0"/>
  </r>
  <r>
    <x v="0"/>
    <x v="24"/>
    <n v="2.8E-3"/>
    <n v="3.5"/>
    <n v="3.1"/>
    <x v="1"/>
    <n v="8.3999999999999995E-3"/>
    <x v="0"/>
  </r>
  <r>
    <x v="0"/>
    <x v="37"/>
    <n v="3.5899999999999999E-3"/>
    <n v="5.1619999999999999"/>
    <n v="4.7619999999999996"/>
    <x v="3"/>
    <n v="1.436E-2"/>
    <x v="0"/>
  </r>
  <r>
    <x v="0"/>
    <x v="24"/>
    <n v="2.8E-3"/>
    <n v="4.1082979999999996"/>
    <n v="3.7082979999999997"/>
    <x v="1"/>
    <n v="8.3999999999999995E-3"/>
    <x v="0"/>
  </r>
  <r>
    <x v="0"/>
    <x v="47"/>
    <n v="9.4599999999999997E-3"/>
    <n v="7.35"/>
    <n v="6.9499999999999993"/>
    <x v="5"/>
    <n v="5.6759999999999998E-2"/>
    <x v="0"/>
  </r>
  <r>
    <x v="0"/>
    <x v="46"/>
    <n v="3.6099999999999999E-3"/>
    <n v="4.7450000000000001"/>
    <n v="4.3449999999999998"/>
    <x v="3"/>
    <n v="1.444E-2"/>
    <x v="0"/>
  </r>
  <r>
    <x v="0"/>
    <x v="24"/>
    <n v="2.8E-3"/>
    <n v="4.12"/>
    <n v="3.72"/>
    <x v="1"/>
    <n v="8.3999999999999995E-3"/>
    <x v="0"/>
  </r>
  <r>
    <x v="0"/>
    <x v="24"/>
    <n v="2.8E-3"/>
    <n v="4.7450000000000001"/>
    <n v="4.3449999999999998"/>
    <x v="3"/>
    <n v="1.12E-2"/>
    <x v="0"/>
  </r>
  <r>
    <x v="0"/>
    <x v="24"/>
    <n v="2.8E-3"/>
    <n v="4.7450000000000001"/>
    <n v="4.3449999999999998"/>
    <x v="3"/>
    <n v="1.12E-2"/>
    <x v="0"/>
  </r>
  <r>
    <x v="0"/>
    <x v="21"/>
    <n v="4.9800000000000001E-3"/>
    <n v="7.5"/>
    <n v="7.1"/>
    <x v="0"/>
    <n v="3.4860000000000002E-2"/>
    <x v="0"/>
  </r>
  <r>
    <x v="0"/>
    <x v="23"/>
    <n v="6.6600000000000001E-3"/>
    <n v="7.67"/>
    <n v="7.27"/>
    <x v="0"/>
    <n v="4.6620000000000002E-2"/>
    <x v="0"/>
  </r>
  <r>
    <x v="0"/>
    <x v="24"/>
    <n v="2.8E-3"/>
    <n v="2.093"/>
    <n v="1.6930000000000001"/>
    <x v="2"/>
    <n v="2.8E-3"/>
    <x v="0"/>
  </r>
  <r>
    <x v="0"/>
    <x v="39"/>
    <n v="3.2000000000000002E-3"/>
    <n v="5.1550000000000002"/>
    <n v="4.7549999999999999"/>
    <x v="3"/>
    <n v="1.2800000000000001E-2"/>
    <x v="0"/>
  </r>
  <r>
    <x v="0"/>
    <x v="39"/>
    <n v="3.2000000000000002E-3"/>
    <n v="5.1550000000000002"/>
    <n v="4.7549999999999999"/>
    <x v="3"/>
    <n v="1.2800000000000001E-2"/>
    <x v="0"/>
  </r>
  <r>
    <x v="0"/>
    <x v="44"/>
    <n v="1.0500000000000001E-2"/>
    <n v="7.7"/>
    <n v="7.3"/>
    <x v="0"/>
    <n v="7.350000000000001E-2"/>
    <x v="0"/>
  </r>
  <r>
    <x v="0"/>
    <x v="48"/>
    <n v="7.62E-3"/>
    <n v="7.7"/>
    <n v="7.3"/>
    <x v="0"/>
    <n v="5.3339999999999999E-2"/>
    <x v="0"/>
  </r>
  <r>
    <x v="0"/>
    <x v="35"/>
    <n v="1.0500000000000001E-2"/>
    <n v="7.5"/>
    <n v="7.1"/>
    <x v="0"/>
    <n v="7.350000000000001E-2"/>
    <x v="0"/>
  </r>
  <r>
    <x v="0"/>
    <x v="28"/>
    <n v="5.7299999999999999E-3"/>
    <n v="2.537093"/>
    <n v="2.1370930000000001"/>
    <x v="6"/>
    <n v="1.146E-2"/>
    <x v="0"/>
  </r>
  <r>
    <x v="0"/>
    <x v="28"/>
    <n v="5.7299999999999999E-3"/>
    <n v="1.8151539999999999"/>
    <n v="1.4151539999999998"/>
    <x v="2"/>
    <n v="5.7299999999999999E-3"/>
    <x v="0"/>
  </r>
  <r>
    <x v="0"/>
    <x v="49"/>
    <n v="3.16E-3"/>
    <n v="5.4382109999999999"/>
    <n v="5.0382109999999996"/>
    <x v="7"/>
    <n v="1.5800000000000002E-2"/>
    <x v="0"/>
  </r>
  <r>
    <x v="0"/>
    <x v="38"/>
    <n v="1.17E-2"/>
    <n v="7.5"/>
    <n v="7.1"/>
    <x v="0"/>
    <n v="8.1900000000000001E-2"/>
    <x v="0"/>
  </r>
  <r>
    <x v="0"/>
    <x v="36"/>
    <n v="6.4900000000000001E-3"/>
    <n v="4.5598669999999997"/>
    <n v="4.1598669999999993"/>
    <x v="3"/>
    <n v="2.596E-2"/>
    <x v="0"/>
  </r>
  <r>
    <x v="0"/>
    <x v="21"/>
    <n v="4.9800000000000001E-3"/>
    <n v="3.75"/>
    <n v="3.35"/>
    <x v="1"/>
    <n v="1.494E-2"/>
    <x v="0"/>
  </r>
  <r>
    <x v="0"/>
    <x v="50"/>
    <n v="5.8599999999999998E-3"/>
    <n v="4.5883799999999999"/>
    <n v="4.1883799999999995"/>
    <x v="3"/>
    <n v="2.3439999999999999E-2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595"/>
    <n v="1.1949999999999998"/>
    <x v="2"/>
    <n v="2.5899999999999999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6619999999999999"/>
    <n v="2.262"/>
    <x v="6"/>
    <n v="5.1799999999999997E-3"/>
    <x v="0"/>
  </r>
  <r>
    <x v="4"/>
    <x v="52"/>
    <n v="2.5899999999999999E-3"/>
    <n v="2.1219999999999999"/>
    <n v="1.722"/>
    <x v="2"/>
    <n v="2.5899999999999999E-3"/>
    <x v="0"/>
  </r>
  <r>
    <x v="4"/>
    <x v="52"/>
    <n v="2.5899999999999999E-3"/>
    <n v="1.5449999999999999"/>
    <n v="1.145"/>
    <x v="2"/>
    <n v="2.5899999999999999E-3"/>
    <x v="0"/>
  </r>
  <r>
    <x v="4"/>
    <x v="52"/>
    <n v="2.5899999999999999E-3"/>
    <n v="2.1219999999999999"/>
    <n v="1.722"/>
    <x v="2"/>
    <n v="2.5899999999999999E-3"/>
    <x v="0"/>
  </r>
  <r>
    <x v="4"/>
    <x v="52"/>
    <n v="2.5899999999999999E-3"/>
    <n v="2.5449999999999999"/>
    <n v="2.145"/>
    <x v="6"/>
    <n v="5.1799999999999997E-3"/>
    <x v="0"/>
  </r>
  <r>
    <x v="4"/>
    <x v="52"/>
    <n v="2.5899999999999999E-3"/>
    <n v="2.4550000000000001"/>
    <n v="2.0550000000000002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4550000000000001"/>
    <n v="2.0550000000000002"/>
    <x v="6"/>
    <n v="5.1799999999999997E-3"/>
    <x v="0"/>
  </r>
  <r>
    <x v="4"/>
    <x v="52"/>
    <n v="2.5899999999999999E-3"/>
    <n v="2.5449999999999999"/>
    <n v="2.145"/>
    <x v="6"/>
    <n v="5.1799999999999997E-3"/>
    <x v="0"/>
  </r>
  <r>
    <x v="4"/>
    <x v="52"/>
    <n v="2.5899999999999999E-3"/>
    <n v="2.1219999999999999"/>
    <n v="1.722"/>
    <x v="2"/>
    <n v="2.5899999999999999E-3"/>
    <x v="0"/>
  </r>
  <r>
    <x v="4"/>
    <x v="52"/>
    <n v="2.5899999999999999E-3"/>
    <n v="2.6619999999999999"/>
    <n v="2.262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1219999999999999"/>
    <n v="1.722"/>
    <x v="2"/>
    <n v="2.5899999999999999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9258"/>
    <n v="1.819258"/>
    <x v="2"/>
    <n v="2.2799999999999999E-3"/>
    <x v="0"/>
  </r>
  <r>
    <x v="0"/>
    <x v="30"/>
    <n v="1.9E-2"/>
    <n v="12.244999999999999"/>
    <n v="11.844999999999999"/>
    <x v="8"/>
    <n v="0.20899999999999999"/>
    <x v="1"/>
  </r>
  <r>
    <x v="0"/>
    <x v="54"/>
    <n v="2.1700000000000001E-2"/>
    <n v="12.244999999999999"/>
    <n v="11.844999999999999"/>
    <x v="8"/>
    <n v="0.2387"/>
    <x v="1"/>
  </r>
  <r>
    <x v="0"/>
    <x v="33"/>
    <n v="1.29E-2"/>
    <n v="7.2839999999999998"/>
    <n v="6.8839999999999995"/>
    <x v="5"/>
    <n v="7.7399999999999997E-2"/>
    <x v="0"/>
  </r>
  <r>
    <x v="0"/>
    <x v="33"/>
    <n v="1.29E-2"/>
    <n v="4.46"/>
    <n v="4.0599999999999996"/>
    <x v="3"/>
    <n v="5.16E-2"/>
    <x v="0"/>
  </r>
  <r>
    <x v="0"/>
    <x v="33"/>
    <n v="1.29E-2"/>
    <n v="4.46"/>
    <n v="4.0599999999999996"/>
    <x v="3"/>
    <n v="5.16E-2"/>
    <x v="0"/>
  </r>
  <r>
    <x v="0"/>
    <x v="33"/>
    <n v="1.29E-2"/>
    <n v="7.2839999999999998"/>
    <n v="6.8839999999999995"/>
    <x v="5"/>
    <n v="7.7399999999999997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10.122999999999999"/>
    <n v="9.722999999999999"/>
    <x v="9"/>
    <n v="9.4500000000000001E-2"/>
    <x v="0"/>
  </r>
  <r>
    <x v="0"/>
    <x v="38"/>
    <n v="1.17E-2"/>
    <n v="10.532999999999999"/>
    <n v="10.132999999999999"/>
    <x v="10"/>
    <n v="0.11700000000000001"/>
    <x v="0"/>
  </r>
  <r>
    <x v="0"/>
    <x v="23"/>
    <n v="6.6600000000000001E-3"/>
    <n v="7.29"/>
    <n v="6.89"/>
    <x v="5"/>
    <n v="3.9960000000000002E-2"/>
    <x v="0"/>
  </r>
  <r>
    <x v="0"/>
    <x v="23"/>
    <n v="6.6600000000000001E-3"/>
    <n v="3.74"/>
    <n v="3.3400000000000003"/>
    <x v="1"/>
    <n v="1.9980000000000001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10.532999999999999"/>
    <n v="10.132999999999999"/>
    <x v="10"/>
    <n v="6.6600000000000006E-2"/>
    <x v="0"/>
  </r>
  <r>
    <x v="0"/>
    <x v="47"/>
    <n v="9.4599999999999997E-3"/>
    <n v="10.532999999999999"/>
    <n v="10.132999999999999"/>
    <x v="10"/>
    <n v="9.459999999999999E-2"/>
    <x v="0"/>
  </r>
  <r>
    <x v="0"/>
    <x v="47"/>
    <n v="9.4599999999999997E-3"/>
    <n v="10.532999999999999"/>
    <n v="10.132999999999999"/>
    <x v="10"/>
    <n v="9.459999999999999E-2"/>
    <x v="0"/>
  </r>
  <r>
    <x v="0"/>
    <x v="47"/>
    <n v="9.4599999999999997E-3"/>
    <n v="10.532999999999999"/>
    <n v="10.132999999999999"/>
    <x v="10"/>
    <n v="9.459999999999999E-2"/>
    <x v="0"/>
  </r>
  <r>
    <x v="0"/>
    <x v="23"/>
    <n v="6.6600000000000001E-3"/>
    <n v="7.29"/>
    <n v="6.89"/>
    <x v="5"/>
    <n v="3.9960000000000002E-2"/>
    <x v="0"/>
  </r>
  <r>
    <x v="0"/>
    <x v="40"/>
    <n v="4.1799999999999997E-3"/>
    <n v="7.29"/>
    <n v="6.89"/>
    <x v="5"/>
    <n v="2.5079999999999998E-2"/>
    <x v="0"/>
  </r>
  <r>
    <x v="0"/>
    <x v="23"/>
    <n v="6.6600000000000001E-3"/>
    <n v="10.122999999999999"/>
    <n v="9.722999999999999"/>
    <x v="9"/>
    <n v="5.994E-2"/>
    <x v="0"/>
  </r>
  <r>
    <x v="0"/>
    <x v="23"/>
    <n v="6.6600000000000001E-3"/>
    <n v="10.122999999999999"/>
    <n v="9.722999999999999"/>
    <x v="9"/>
    <n v="5.994E-2"/>
    <x v="0"/>
  </r>
  <r>
    <x v="0"/>
    <x v="47"/>
    <n v="9.4599999999999997E-3"/>
    <n v="10.532999999999999"/>
    <n v="10.132999999999999"/>
    <x v="10"/>
    <n v="9.459999999999999E-2"/>
    <x v="0"/>
  </r>
  <r>
    <x v="0"/>
    <x v="47"/>
    <n v="9.4599999999999997E-3"/>
    <n v="10.532999999999999"/>
    <n v="10.132999999999999"/>
    <x v="10"/>
    <n v="9.459999999999999E-2"/>
    <x v="0"/>
  </r>
  <r>
    <x v="0"/>
    <x v="23"/>
    <n v="6.6600000000000001E-3"/>
    <n v="7.7"/>
    <n v="7.3"/>
    <x v="0"/>
    <n v="4.6620000000000002E-2"/>
    <x v="0"/>
  </r>
  <r>
    <x v="0"/>
    <x v="50"/>
    <n v="5.8599999999999998E-3"/>
    <n v="7.5"/>
    <n v="7.1"/>
    <x v="0"/>
    <n v="4.1020000000000001E-2"/>
    <x v="0"/>
  </r>
  <r>
    <x v="0"/>
    <x v="55"/>
    <n v="4.9699999999999996E-3"/>
    <n v="4.2619999999999996"/>
    <n v="3.8619999999999997"/>
    <x v="1"/>
    <n v="1.491E-2"/>
    <x v="0"/>
  </r>
  <r>
    <x v="0"/>
    <x v="55"/>
    <n v="4.9699999999999996E-3"/>
    <n v="4.2620079999999998"/>
    <n v="3.8620079999999999"/>
    <x v="1"/>
    <n v="1.491E-2"/>
    <x v="0"/>
  </r>
  <r>
    <x v="0"/>
    <x v="55"/>
    <n v="4.9699999999999996E-3"/>
    <n v="7.7"/>
    <n v="7.3"/>
    <x v="0"/>
    <n v="3.4789999999999995E-2"/>
    <x v="0"/>
  </r>
  <r>
    <x v="0"/>
    <x v="40"/>
    <n v="4.1799999999999997E-3"/>
    <n v="7.7"/>
    <n v="7.3"/>
    <x v="0"/>
    <n v="2.9259999999999998E-2"/>
    <x v="0"/>
  </r>
  <r>
    <x v="0"/>
    <x v="40"/>
    <n v="4.1799999999999997E-3"/>
    <n v="7.7"/>
    <n v="7.3"/>
    <x v="0"/>
    <n v="2.9259999999999998E-2"/>
    <x v="0"/>
  </r>
  <r>
    <x v="0"/>
    <x v="40"/>
    <n v="4.1799999999999997E-3"/>
    <n v="7.7"/>
    <n v="7.3"/>
    <x v="0"/>
    <n v="2.9259999999999998E-2"/>
    <x v="0"/>
  </r>
  <r>
    <x v="0"/>
    <x v="40"/>
    <n v="4.1799999999999997E-3"/>
    <n v="7.7"/>
    <n v="7.3"/>
    <x v="0"/>
    <n v="2.9259999999999998E-2"/>
    <x v="0"/>
  </r>
  <r>
    <x v="0"/>
    <x v="46"/>
    <n v="3.6099999999999999E-3"/>
    <n v="3.65"/>
    <n v="3.25"/>
    <x v="1"/>
    <n v="1.0829999999999999E-2"/>
    <x v="0"/>
  </r>
  <r>
    <x v="0"/>
    <x v="24"/>
    <n v="2.8E-3"/>
    <n v="2.9116200000000001"/>
    <n v="2.5116200000000002"/>
    <x v="6"/>
    <n v="5.5999999999999999E-3"/>
    <x v="0"/>
  </r>
  <r>
    <x v="0"/>
    <x v="24"/>
    <n v="2.8E-3"/>
    <n v="2.262276"/>
    <n v="1.862276"/>
    <x v="2"/>
    <n v="2.8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726"/>
    <n v="2.3260000000000001"/>
    <x v="6"/>
    <n v="5.5999999999999999E-3"/>
    <x v="0"/>
  </r>
  <r>
    <x v="0"/>
    <x v="24"/>
    <n v="2.8E-3"/>
    <n v="2.9494470000000002"/>
    <n v="2.5494470000000002"/>
    <x v="6"/>
    <n v="5.5999999999999999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1.652692"/>
    <n v="1.2526920000000001"/>
    <x v="2"/>
    <n v="2.8E-3"/>
    <x v="0"/>
  </r>
  <r>
    <x v="0"/>
    <x v="24"/>
    <n v="2.8E-3"/>
    <n v="2.5171950000000001"/>
    <n v="2.1171950000000002"/>
    <x v="6"/>
    <n v="5.5999999999999999E-3"/>
    <x v="0"/>
  </r>
  <r>
    <x v="0"/>
    <x v="24"/>
    <n v="2.8E-3"/>
    <n v="4.7450000000000001"/>
    <n v="4.3449999999999998"/>
    <x v="3"/>
    <n v="1.12E-2"/>
    <x v="0"/>
  </r>
  <r>
    <x v="0"/>
    <x v="24"/>
    <n v="2.8E-3"/>
    <n v="4.7450000000000001"/>
    <n v="4.3449999999999998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3689999999999998"/>
    <n v="4.9689999999999994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1.124638"/>
    <n v="0.724638"/>
    <x v="4"/>
    <n v="0"/>
    <x v="0"/>
  </r>
  <r>
    <x v="0"/>
    <x v="24"/>
    <n v="2.8E-3"/>
    <n v="1.22044"/>
    <n v="0.82043999999999995"/>
    <x v="4"/>
    <n v="0"/>
    <x v="0"/>
  </r>
  <r>
    <x v="0"/>
    <x v="49"/>
    <n v="3.16E-3"/>
    <n v="3.9343889999999999"/>
    <n v="3.534389"/>
    <x v="1"/>
    <n v="9.4800000000000006E-3"/>
    <x v="0"/>
  </r>
  <r>
    <x v="0"/>
    <x v="24"/>
    <n v="2.8E-3"/>
    <n v="3.7489840000000001"/>
    <n v="3.3489840000000002"/>
    <x v="1"/>
    <n v="8.3999999999999995E-3"/>
    <x v="0"/>
  </r>
  <r>
    <x v="0"/>
    <x v="24"/>
    <n v="2.8E-3"/>
    <n v="4.2092460000000003"/>
    <n v="3.8092460000000004"/>
    <x v="1"/>
    <n v="8.3999999999999995E-3"/>
    <x v="0"/>
  </r>
  <r>
    <x v="0"/>
    <x v="28"/>
    <n v="5.7299999999999999E-3"/>
    <n v="4.891915"/>
    <n v="4.4919149999999997"/>
    <x v="3"/>
    <n v="2.2919999999999999E-2"/>
    <x v="0"/>
  </r>
  <r>
    <x v="0"/>
    <x v="28"/>
    <n v="5.7299999999999999E-3"/>
    <n v="5.2048649999999999"/>
    <n v="4.8048649999999995"/>
    <x v="3"/>
    <n v="2.2919999999999999E-2"/>
    <x v="0"/>
  </r>
  <r>
    <x v="0"/>
    <x v="28"/>
    <n v="5.7299999999999999E-3"/>
    <n v="5.5179879999999999"/>
    <n v="5.1179879999999995"/>
    <x v="7"/>
    <n v="2.8649999999999998E-2"/>
    <x v="0"/>
  </r>
  <r>
    <x v="0"/>
    <x v="24"/>
    <n v="2.8E-3"/>
    <n v="4.6050380000000004"/>
    <n v="4.2050380000000001"/>
    <x v="3"/>
    <n v="1.12E-2"/>
    <x v="0"/>
  </r>
  <r>
    <x v="0"/>
    <x v="24"/>
    <n v="2.8E-3"/>
    <n v="3.3467210000000001"/>
    <n v="2.9467210000000001"/>
    <x v="6"/>
    <n v="5.5999999999999999E-3"/>
    <x v="0"/>
  </r>
  <r>
    <x v="0"/>
    <x v="24"/>
    <n v="2.8E-3"/>
    <n v="2.8505940000000001"/>
    <n v="2.4505940000000002"/>
    <x v="6"/>
    <n v="5.5999999999999999E-3"/>
    <x v="0"/>
  </r>
  <r>
    <x v="0"/>
    <x v="56"/>
    <n v="1.44E-2"/>
    <n v="11.182024999999999"/>
    <n v="10.782024999999999"/>
    <x v="10"/>
    <n v="0.14399999999999999"/>
    <x v="1"/>
  </r>
  <r>
    <x v="0"/>
    <x v="55"/>
    <n v="4.9699999999999996E-3"/>
    <n v="7.6107469999999999"/>
    <n v="7.2107469999999996"/>
    <x v="0"/>
    <n v="3.4789999999999995E-2"/>
    <x v="0"/>
  </r>
  <r>
    <x v="0"/>
    <x v="55"/>
    <n v="4.9699999999999996E-3"/>
    <n v="7.6095569999999997"/>
    <n v="7.2095569999999993"/>
    <x v="0"/>
    <n v="3.4789999999999995E-2"/>
    <x v="0"/>
  </r>
  <r>
    <x v="0"/>
    <x v="24"/>
    <n v="2.8E-3"/>
    <n v="6.1598839999999999"/>
    <n v="5.7598839999999996"/>
    <x v="7"/>
    <n v="1.4E-2"/>
    <x v="0"/>
  </r>
  <r>
    <x v="0"/>
    <x v="49"/>
    <n v="3.16E-3"/>
    <n v="4.8628819999999999"/>
    <n v="4.4628819999999996"/>
    <x v="3"/>
    <n v="1.264E-2"/>
    <x v="0"/>
  </r>
  <r>
    <x v="0"/>
    <x v="39"/>
    <n v="3.2000000000000002E-3"/>
    <n v="3.5658880000000002"/>
    <n v="3.1658880000000003"/>
    <x v="1"/>
    <n v="9.6000000000000009E-3"/>
    <x v="0"/>
  </r>
  <r>
    <x v="0"/>
    <x v="49"/>
    <n v="3.16E-3"/>
    <n v="2.26892"/>
    <n v="1.8689200000000001"/>
    <x v="2"/>
    <n v="3.16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4"/>
    <x v="41"/>
    <n v="3.5100000000000001E-3"/>
    <n v="4.21"/>
    <n v="3.81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1"/>
    <x v="5"/>
    <n v="8.5500000000000003E-3"/>
    <n v="0.41"/>
    <n v="9.9999999999999534E-3"/>
    <x v="4"/>
    <n v="0"/>
    <x v="0"/>
  </r>
  <r>
    <x v="0"/>
    <x v="24"/>
    <n v="2.8E-3"/>
    <n v="2.2450000000000001"/>
    <n v="1.8450000000000002"/>
    <x v="2"/>
    <n v="2.8E-3"/>
    <x v="0"/>
  </r>
  <r>
    <x v="0"/>
    <x v="24"/>
    <n v="2.8E-3"/>
    <n v="1.22044"/>
    <n v="0.82043999999999995"/>
    <x v="4"/>
    <n v="0"/>
    <x v="0"/>
  </r>
  <r>
    <x v="0"/>
    <x v="24"/>
    <n v="2.8E-3"/>
    <n v="1.124638"/>
    <n v="0.724638"/>
    <x v="4"/>
    <n v="0"/>
    <x v="0"/>
  </r>
  <r>
    <x v="5"/>
    <x v="57"/>
    <n v="9.4900000000000002E-3"/>
    <n v="4.134233"/>
    <n v="3.7342330000000001"/>
    <x v="1"/>
    <n v="2.8470000000000002E-2"/>
    <x v="1"/>
  </r>
  <r>
    <x v="0"/>
    <x v="24"/>
    <n v="2.8E-3"/>
    <n v="3.7916989999999999"/>
    <n v="3.391699"/>
    <x v="1"/>
    <n v="8.3999999999999995E-3"/>
    <x v="0"/>
  </r>
  <r>
    <x v="1"/>
    <x v="5"/>
    <n v="8.5500000000000003E-3"/>
    <n v="0.57982800000000001"/>
    <n v="0.17982799999999999"/>
    <x v="4"/>
    <n v="0"/>
    <x v="0"/>
  </r>
  <r>
    <x v="1"/>
    <x v="5"/>
    <n v="8.5500000000000003E-3"/>
    <n v="3.6549999999999998"/>
    <n v="3.2549999999999999"/>
    <x v="1"/>
    <n v="2.5649999999999999E-2"/>
    <x v="0"/>
  </r>
  <r>
    <x v="1"/>
    <x v="5"/>
    <n v="8.5500000000000003E-3"/>
    <n v="3.5219999999999998"/>
    <n v="3.1219999999999999"/>
    <x v="1"/>
    <n v="2.5649999999999999E-2"/>
    <x v="0"/>
  </r>
  <r>
    <x v="1"/>
    <x v="5"/>
    <n v="8.5500000000000003E-3"/>
    <n v="0.41"/>
    <n v="9.9999999999999534E-3"/>
    <x v="4"/>
    <n v="0"/>
    <x v="0"/>
  </r>
  <r>
    <x v="0"/>
    <x v="24"/>
    <n v="2.8E-3"/>
    <n v="2.2450000000000001"/>
    <n v="1.8450000000000002"/>
    <x v="2"/>
    <n v="2.8E-3"/>
    <x v="0"/>
  </r>
  <r>
    <x v="1"/>
    <x v="5"/>
    <n v="8.5500000000000003E-3"/>
    <n v="0.57982800000000001"/>
    <n v="0.17982799999999999"/>
    <x v="4"/>
    <n v="0"/>
    <x v="0"/>
  </r>
  <r>
    <x v="0"/>
    <x v="32"/>
    <n v="1.78E-2"/>
    <n v="12.244999999999999"/>
    <n v="11.844999999999999"/>
    <x v="8"/>
    <n v="0.1958"/>
    <x v="0"/>
  </r>
  <r>
    <x v="0"/>
    <x v="32"/>
    <n v="1.78E-2"/>
    <n v="12.244999999999999"/>
    <n v="11.844999999999999"/>
    <x v="8"/>
    <n v="0.1958"/>
    <x v="0"/>
  </r>
  <r>
    <x v="0"/>
    <x v="23"/>
    <n v="6.6600000000000001E-3"/>
    <n v="7.5"/>
    <n v="7.1"/>
    <x v="0"/>
    <n v="4.6620000000000002E-2"/>
    <x v="0"/>
  </r>
  <r>
    <x v="1"/>
    <x v="5"/>
    <n v="8.5500000000000003E-3"/>
    <n v="2.0249999999999999"/>
    <n v="1.625"/>
    <x v="2"/>
    <n v="8.5500000000000003E-3"/>
    <x v="0"/>
  </r>
  <r>
    <x v="1"/>
    <x v="5"/>
    <n v="8.5500000000000003E-3"/>
    <n v="3.6549999999999998"/>
    <n v="3.2549999999999999"/>
    <x v="1"/>
    <n v="2.5649999999999999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5.3689999999999998"/>
    <n v="4.9689999999999994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2.5171950000000001"/>
    <n v="2.1171950000000002"/>
    <x v="6"/>
    <n v="5.5999999999999999E-3"/>
    <x v="0"/>
  </r>
  <r>
    <x v="0"/>
    <x v="24"/>
    <n v="2.8E-3"/>
    <n v="1.652692"/>
    <n v="1.2526920000000001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9494470000000002"/>
    <n v="2.5494470000000002"/>
    <x v="6"/>
    <n v="5.5999999999999999E-3"/>
    <x v="0"/>
  </r>
  <r>
    <x v="4"/>
    <x v="58"/>
    <n v="3.0400000000000002E-3"/>
    <n v="1.5"/>
    <n v="1.1000000000000001"/>
    <x v="2"/>
    <n v="3.0400000000000002E-3"/>
    <x v="0"/>
  </r>
  <r>
    <x v="0"/>
    <x v="24"/>
    <n v="2.8E-3"/>
    <n v="7.5"/>
    <n v="7.1"/>
    <x v="0"/>
    <n v="1.9599999999999999E-2"/>
    <x v="0"/>
  </r>
  <r>
    <x v="0"/>
    <x v="24"/>
    <n v="2.8E-3"/>
    <n v="7.5"/>
    <n v="7.1"/>
    <x v="0"/>
    <n v="1.9599999999999999E-2"/>
    <x v="0"/>
  </r>
  <r>
    <x v="0"/>
    <x v="24"/>
    <n v="2.8E-3"/>
    <n v="7.5"/>
    <n v="7.1"/>
    <x v="0"/>
    <n v="1.9599999999999999E-2"/>
    <x v="0"/>
  </r>
  <r>
    <x v="4"/>
    <x v="58"/>
    <n v="3.0400000000000002E-3"/>
    <n v="1.5"/>
    <n v="1.1000000000000001"/>
    <x v="2"/>
    <n v="3.0400000000000002E-3"/>
    <x v="0"/>
  </r>
  <r>
    <x v="4"/>
    <x v="58"/>
    <n v="3.0400000000000002E-3"/>
    <n v="1.633"/>
    <n v="1.2330000000000001"/>
    <x v="2"/>
    <n v="3.0400000000000002E-3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2.726"/>
    <n v="2.326000000000000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46"/>
    <n v="3.6099999999999999E-3"/>
    <n v="3.65"/>
    <n v="3.25"/>
    <x v="1"/>
    <n v="1.0829999999999999E-2"/>
    <x v="0"/>
  </r>
  <r>
    <x v="0"/>
    <x v="24"/>
    <n v="2.8E-3"/>
    <n v="2.726"/>
    <n v="2.3260000000000001"/>
    <x v="6"/>
    <n v="5.59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45"/>
    <n v="9.4500000000000001E-3"/>
    <n v="9.8800000000000008"/>
    <n v="9.48"/>
    <x v="9"/>
    <n v="8.5050000000000001E-2"/>
    <x v="0"/>
  </r>
  <r>
    <x v="0"/>
    <x v="24"/>
    <n v="2.8E-3"/>
    <n v="2.262276"/>
    <n v="1.862276"/>
    <x v="2"/>
    <n v="2.8E-3"/>
    <x v="0"/>
  </r>
  <r>
    <x v="0"/>
    <x v="24"/>
    <n v="2.8E-3"/>
    <n v="1.6138980000000001"/>
    <n v="1.2138979999999999"/>
    <x v="2"/>
    <n v="2.8E-3"/>
    <x v="0"/>
  </r>
  <r>
    <x v="0"/>
    <x v="31"/>
    <n v="8.5500000000000003E-3"/>
    <n v="0.69296500000000005"/>
    <n v="0.29296500000000003"/>
    <x v="4"/>
    <n v="0"/>
    <x v="1"/>
  </r>
  <r>
    <x v="0"/>
    <x v="45"/>
    <n v="9.4500000000000001E-3"/>
    <n v="9.8800000000000008"/>
    <n v="9.48"/>
    <x v="9"/>
    <n v="8.5050000000000001E-2"/>
    <x v="0"/>
  </r>
  <r>
    <x v="0"/>
    <x v="56"/>
    <n v="1.44E-2"/>
    <n v="11.828379999999999"/>
    <n v="11.428379999999999"/>
    <x v="8"/>
    <n v="0.15839999999999999"/>
    <x v="1"/>
  </r>
  <r>
    <x v="0"/>
    <x v="24"/>
    <n v="2.8E-3"/>
    <n v="2.9116200000000001"/>
    <n v="2.5116200000000002"/>
    <x v="6"/>
    <n v="5.5999999999999999E-3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24"/>
    <n v="2.8E-3"/>
    <n v="6.7382879999999998"/>
    <n v="6.3382879999999995"/>
    <x v="5"/>
    <n v="1.6799999999999999E-2"/>
    <x v="0"/>
  </r>
  <r>
    <x v="0"/>
    <x v="24"/>
    <n v="2.8E-3"/>
    <n v="5.8737839999999997"/>
    <n v="5.4737839999999993"/>
    <x v="7"/>
    <n v="1.4E-2"/>
    <x v="0"/>
  </r>
  <r>
    <x v="0"/>
    <x v="24"/>
    <n v="2.8E-3"/>
    <n v="5.3761760000000001"/>
    <n v="4.9761759999999997"/>
    <x v="3"/>
    <n v="1.12E-2"/>
    <x v="0"/>
  </r>
  <r>
    <x v="0"/>
    <x v="24"/>
    <n v="2.8E-3"/>
    <n v="4.1447760000000002"/>
    <n v="3.7447760000000003"/>
    <x v="1"/>
    <n v="8.3999999999999995E-3"/>
    <x v="0"/>
  </r>
  <r>
    <x v="0"/>
    <x v="33"/>
    <n v="1.29E-2"/>
    <n v="2.1905220000000001"/>
    <n v="1.7905220000000002"/>
    <x v="2"/>
    <n v="1.29E-2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32"/>
    <n v="1.78E-2"/>
    <n v="2.2450000000000001"/>
    <n v="1.8450000000000002"/>
    <x v="2"/>
    <n v="1.78E-2"/>
    <x v="0"/>
  </r>
  <r>
    <x v="0"/>
    <x v="32"/>
    <n v="1.78E-2"/>
    <n v="2.2450000000000001"/>
    <n v="1.8450000000000002"/>
    <x v="2"/>
    <n v="1.78E-2"/>
    <x v="0"/>
  </r>
  <r>
    <x v="0"/>
    <x v="24"/>
    <n v="2.8E-3"/>
    <n v="3.3663660000000002"/>
    <n v="2.9663660000000003"/>
    <x v="6"/>
    <n v="5.5999999999999999E-3"/>
    <x v="0"/>
  </r>
  <r>
    <x v="0"/>
    <x v="55"/>
    <n v="4.9699999999999996E-3"/>
    <n v="7.6106910000000001"/>
    <n v="7.2106909999999997"/>
    <x v="0"/>
    <n v="3.4789999999999995E-2"/>
    <x v="0"/>
  </r>
  <r>
    <x v="0"/>
    <x v="55"/>
    <n v="4.9699999999999996E-3"/>
    <n v="7.6102970000000001"/>
    <n v="7.2102969999999997"/>
    <x v="0"/>
    <n v="3.4789999999999995E-2"/>
    <x v="0"/>
  </r>
  <r>
    <x v="0"/>
    <x v="55"/>
    <n v="4.9699999999999996E-3"/>
    <n v="7.371429"/>
    <n v="6.9714289999999997"/>
    <x v="5"/>
    <n v="2.9819999999999999E-2"/>
    <x v="0"/>
  </r>
  <r>
    <x v="5"/>
    <x v="59"/>
    <n v="1.47E-2"/>
    <n v="6.1598839999999999"/>
    <n v="5.7598839999999996"/>
    <x v="7"/>
    <n v="7.3499999999999996E-2"/>
    <x v="0"/>
  </r>
  <r>
    <x v="5"/>
    <x v="59"/>
    <n v="1.47E-2"/>
    <n v="4.8628819999999999"/>
    <n v="4.4628819999999996"/>
    <x v="3"/>
    <n v="5.8799999999999998E-2"/>
    <x v="0"/>
  </r>
  <r>
    <x v="5"/>
    <x v="59"/>
    <n v="1.47E-2"/>
    <n v="3.5658880000000002"/>
    <n v="3.1658880000000003"/>
    <x v="1"/>
    <n v="4.41E-2"/>
    <x v="0"/>
  </r>
  <r>
    <x v="5"/>
    <x v="59"/>
    <n v="1.47E-2"/>
    <n v="3.001573"/>
    <n v="2.6015730000000001"/>
    <x v="6"/>
    <n v="2.9399999999999999E-2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4"/>
    <x v="41"/>
    <n v="3.5100000000000001E-3"/>
    <n v="4.21"/>
    <n v="3.81"/>
    <x v="1"/>
    <n v="1.053000000000000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0"/>
    <x v="24"/>
    <n v="2.8E-3"/>
    <n v="3.096994"/>
    <n v="2.6969940000000001"/>
    <x v="6"/>
    <n v="5.5999999999999999E-3"/>
    <x v="0"/>
  </r>
  <r>
    <x v="0"/>
    <x v="24"/>
    <n v="2.8E-3"/>
    <n v="1.124638"/>
    <n v="0.724638"/>
    <x v="4"/>
    <n v="0"/>
    <x v="0"/>
  </r>
  <r>
    <x v="0"/>
    <x v="24"/>
    <n v="2.8E-3"/>
    <n v="0.97180500000000003"/>
    <n v="0.57180500000000001"/>
    <x v="4"/>
    <n v="0"/>
    <x v="0"/>
  </r>
  <r>
    <x v="0"/>
    <x v="24"/>
    <n v="2.8E-3"/>
    <n v="1.4040570000000001"/>
    <n v="1.004057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2685599999999999"/>
    <n v="1.86856"/>
    <x v="2"/>
    <n v="2.8E-3"/>
    <x v="0"/>
  </r>
  <r>
    <x v="0"/>
    <x v="24"/>
    <n v="2.8E-3"/>
    <n v="2.700812"/>
    <n v="2.3008120000000001"/>
    <x v="6"/>
    <n v="5.5999999999999999E-3"/>
    <x v="0"/>
  </r>
  <r>
    <x v="0"/>
    <x v="24"/>
    <n v="2.8E-3"/>
    <n v="3.5430640000000002"/>
    <n v="3.1430640000000003"/>
    <x v="1"/>
    <n v="8.3999999999999995E-3"/>
    <x v="0"/>
  </r>
  <r>
    <x v="0"/>
    <x v="24"/>
    <n v="2.8E-3"/>
    <n v="4.134233"/>
    <n v="3.7342330000000001"/>
    <x v="1"/>
    <n v="8.3999999999999995E-3"/>
    <x v="0"/>
  </r>
  <r>
    <x v="0"/>
    <x v="24"/>
    <n v="2.8E-3"/>
    <n v="2.7295799999999999"/>
    <n v="2.32958"/>
    <x v="6"/>
    <n v="5.5999999999999999E-3"/>
    <x v="0"/>
  </r>
  <r>
    <x v="0"/>
    <x v="24"/>
    <n v="2.8E-3"/>
    <n v="2.726"/>
    <n v="2.3260000000000001"/>
    <x v="6"/>
    <n v="5.5999999999999999E-3"/>
    <x v="0"/>
  </r>
  <r>
    <x v="0"/>
    <x v="24"/>
    <n v="2.8E-3"/>
    <n v="5.5161759999999997"/>
    <n v="5.1161759999999994"/>
    <x v="7"/>
    <n v="1.4E-2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0"/>
    <x v="48"/>
    <n v="7.62E-3"/>
    <n v="6.9950039999999998"/>
    <n v="6.5950039999999994"/>
    <x v="5"/>
    <n v="4.5719999999999997E-2"/>
    <x v="0"/>
  </r>
  <r>
    <x v="0"/>
    <x v="24"/>
    <n v="2.8E-3"/>
    <n v="4.5439259999999999"/>
    <n v="4.1439259999999996"/>
    <x v="3"/>
    <n v="1.12E-2"/>
    <x v="0"/>
  </r>
  <r>
    <x v="0"/>
    <x v="49"/>
    <n v="3.16E-3"/>
    <n v="6.4896529999999997"/>
    <n v="6.0896529999999993"/>
    <x v="5"/>
    <n v="1.8960000000000001E-2"/>
    <x v="0"/>
  </r>
  <r>
    <x v="0"/>
    <x v="49"/>
    <n v="3.16E-3"/>
    <n v="5.6251490000000004"/>
    <n v="5.225149"/>
    <x v="7"/>
    <n v="1.5800000000000002E-2"/>
    <x v="0"/>
  </r>
  <r>
    <x v="0"/>
    <x v="24"/>
    <n v="2.8E-3"/>
    <n v="5.1275409999999999"/>
    <n v="4.7275409999999995"/>
    <x v="3"/>
    <n v="1.12E-2"/>
    <x v="0"/>
  </r>
  <r>
    <x v="0"/>
    <x v="24"/>
    <n v="2.8E-3"/>
    <n v="4.3564030000000002"/>
    <n v="3.9564030000000003"/>
    <x v="1"/>
    <n v="8.3999999999999995E-3"/>
    <x v="0"/>
  </r>
  <r>
    <x v="0"/>
    <x v="24"/>
    <n v="2.8E-3"/>
    <n v="3.8961410000000001"/>
    <n v="3.4961410000000002"/>
    <x v="1"/>
    <n v="8.3999999999999995E-3"/>
    <x v="0"/>
  </r>
  <r>
    <x v="0"/>
    <x v="48"/>
    <n v="7.62E-3"/>
    <n v="2.5222760000000002"/>
    <n v="2.1222760000000003"/>
    <x v="6"/>
    <n v="1.524E-2"/>
    <x v="0"/>
  </r>
  <r>
    <x v="0"/>
    <x v="24"/>
    <n v="2.8E-3"/>
    <n v="2.9561009999999999"/>
    <n v="2.556101"/>
    <x v="6"/>
    <n v="5.5999999999999999E-3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45"/>
    <n v="9.4500000000000001E-3"/>
    <n v="1.934612"/>
    <n v="1.5346120000000001"/>
    <x v="2"/>
    <n v="9.4500000000000001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1.5407219999999999"/>
    <n v="1.1407219999999998"/>
    <x v="2"/>
    <n v="2.8E-3"/>
    <x v="0"/>
  </r>
  <r>
    <x v="0"/>
    <x v="24"/>
    <n v="2.8E-3"/>
    <n v="1.3818049999999999"/>
    <n v="0.98180499999999993"/>
    <x v="4"/>
    <n v="0"/>
    <x v="0"/>
  </r>
  <r>
    <x v="0"/>
    <x v="24"/>
    <n v="2.8E-3"/>
    <n v="1.4040570000000001"/>
    <n v="1.004057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2685599999999999"/>
    <n v="1.86856"/>
    <x v="2"/>
    <n v="2.8E-3"/>
    <x v="0"/>
  </r>
  <r>
    <x v="0"/>
    <x v="24"/>
    <n v="2.8E-3"/>
    <n v="2.700812"/>
    <n v="2.3008120000000001"/>
    <x v="6"/>
    <n v="5.5999999999999999E-3"/>
    <x v="0"/>
  </r>
  <r>
    <x v="0"/>
    <x v="24"/>
    <n v="2.8E-3"/>
    <n v="3.5430640000000002"/>
    <n v="3.1430640000000003"/>
    <x v="1"/>
    <n v="8.3999999999999995E-3"/>
    <x v="0"/>
  </r>
  <r>
    <x v="5"/>
    <x v="57"/>
    <n v="9.4900000000000002E-3"/>
    <n v="4.134233"/>
    <n v="3.7342330000000001"/>
    <x v="1"/>
    <n v="2.8470000000000002E-2"/>
    <x v="1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2.726"/>
    <n v="2.3260000000000001"/>
    <x v="6"/>
    <n v="5.5999999999999999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46"/>
    <n v="3.6099999999999999E-3"/>
    <n v="3.65"/>
    <n v="3.25"/>
    <x v="1"/>
    <n v="1.0829999999999999E-2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9561009999999999"/>
    <n v="2.556101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24"/>
    <n v="2.8E-3"/>
    <n v="1.5407219999999999"/>
    <n v="1.1407219999999998"/>
    <x v="2"/>
    <n v="2.8E-3"/>
    <x v="0"/>
  </r>
  <r>
    <x v="0"/>
    <x v="24"/>
    <n v="2.8E-3"/>
    <n v="1.3818049999999999"/>
    <n v="0.98180499999999993"/>
    <x v="4"/>
    <n v="0"/>
    <x v="0"/>
  </r>
  <r>
    <x v="0"/>
    <x v="24"/>
    <n v="2.8E-3"/>
    <n v="1.4040570000000001"/>
    <n v="1.004057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2685599999999999"/>
    <n v="1.86856"/>
    <x v="2"/>
    <n v="2.8E-3"/>
    <x v="0"/>
  </r>
  <r>
    <x v="0"/>
    <x v="24"/>
    <n v="2.8E-3"/>
    <n v="2.700812"/>
    <n v="2.3008120000000001"/>
    <x v="6"/>
    <n v="5.5999999999999999E-3"/>
    <x v="0"/>
  </r>
  <r>
    <x v="0"/>
    <x v="24"/>
    <n v="2.8E-3"/>
    <n v="3.5430640000000002"/>
    <n v="3.1430640000000003"/>
    <x v="1"/>
    <n v="8.3999999999999995E-3"/>
    <x v="0"/>
  </r>
  <r>
    <x v="0"/>
    <x v="24"/>
    <n v="2.8E-3"/>
    <n v="4.134233"/>
    <n v="3.7342330000000001"/>
    <x v="1"/>
    <n v="8.3999999999999995E-3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2.726"/>
    <n v="2.3260000000000001"/>
    <x v="6"/>
    <n v="5.5999999999999999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2.9561009999999999"/>
    <n v="2.5561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5"/>
    <x v="57"/>
    <n v="9.4900000000000002E-3"/>
    <n v="4.134233"/>
    <n v="3.7342330000000001"/>
    <x v="1"/>
    <n v="2.8470000000000002E-2"/>
    <x v="1"/>
  </r>
  <r>
    <x v="0"/>
    <x v="24"/>
    <n v="2.8E-3"/>
    <n v="3.5430640000000002"/>
    <n v="3.1430640000000003"/>
    <x v="1"/>
    <n v="8.3999999999999995E-3"/>
    <x v="0"/>
  </r>
  <r>
    <x v="0"/>
    <x v="24"/>
    <n v="2.8E-3"/>
    <n v="2.700812"/>
    <n v="2.3008120000000001"/>
    <x v="6"/>
    <n v="5.5999999999999999E-3"/>
    <x v="0"/>
  </r>
  <r>
    <x v="0"/>
    <x v="24"/>
    <n v="2.8E-3"/>
    <n v="2.2685599999999999"/>
    <n v="1.86856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1.4040570000000001"/>
    <n v="1.004057"/>
    <x v="2"/>
    <n v="2.8E-3"/>
    <x v="0"/>
  </r>
  <r>
    <x v="0"/>
    <x v="24"/>
    <n v="2.8E-3"/>
    <n v="1.3818049999999999"/>
    <n v="0.98180499999999993"/>
    <x v="4"/>
    <n v="0"/>
    <x v="0"/>
  </r>
  <r>
    <x v="0"/>
    <x v="24"/>
    <n v="2.8E-3"/>
    <n v="1.5407219999999999"/>
    <n v="1.1407219999999998"/>
    <x v="2"/>
    <n v="2.8E-3"/>
    <x v="0"/>
  </r>
  <r>
    <x v="0"/>
    <x v="24"/>
    <n v="2.8E-3"/>
    <n v="2.726"/>
    <n v="2.3260000000000001"/>
    <x v="6"/>
    <n v="5.5999999999999999E-3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46"/>
    <n v="3.6099999999999999E-3"/>
    <n v="3.65"/>
    <n v="3.25"/>
    <x v="1"/>
    <n v="1.0829999999999999E-2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9561009999999999"/>
    <n v="2.556101"/>
    <x v="6"/>
    <n v="5.5999999999999999E-3"/>
    <x v="0"/>
  </r>
  <r>
    <x v="4"/>
    <x v="41"/>
    <n v="3.5100000000000001E-3"/>
    <n v="4.21"/>
    <n v="3.81"/>
    <x v="1"/>
    <n v="1.0530000000000001E-2"/>
    <x v="0"/>
  </r>
  <r>
    <x v="0"/>
    <x v="55"/>
    <n v="4.9699999999999996E-3"/>
    <n v="4.2619999999999996"/>
    <n v="3.8619999999999997"/>
    <x v="1"/>
    <n v="1.49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"/>
    <n v="3.81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4.21"/>
    <n v="3.81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0"/>
    <x v="24"/>
    <n v="2.8E-3"/>
    <n v="2.700812"/>
    <n v="2.3008120000000001"/>
    <x v="6"/>
    <n v="5.5999999999999999E-3"/>
    <x v="0"/>
  </r>
  <r>
    <x v="0"/>
    <x v="24"/>
    <n v="2.8E-3"/>
    <n v="3.5430640000000002"/>
    <n v="3.1430640000000003"/>
    <x v="1"/>
    <n v="8.3999999999999995E-3"/>
    <x v="0"/>
  </r>
  <r>
    <x v="0"/>
    <x v="50"/>
    <n v="5.8599999999999998E-3"/>
    <n v="7.4999969999999996"/>
    <n v="7.0999969999999992"/>
    <x v="0"/>
    <n v="4.1020000000000001E-2"/>
    <x v="0"/>
  </r>
  <r>
    <x v="0"/>
    <x v="50"/>
    <n v="5.8599999999999998E-3"/>
    <n v="7.4999969999999996"/>
    <n v="7.0999969999999992"/>
    <x v="0"/>
    <n v="4.1020000000000001E-2"/>
    <x v="0"/>
  </r>
  <r>
    <x v="0"/>
    <x v="24"/>
    <n v="2.8E-3"/>
    <n v="2.9539870000000001"/>
    <n v="2.5539870000000002"/>
    <x v="6"/>
    <n v="5.5999999999999999E-3"/>
    <x v="0"/>
  </r>
  <r>
    <x v="0"/>
    <x v="24"/>
    <n v="2.8E-3"/>
    <n v="1.5407219999999999"/>
    <n v="1.1407219999999998"/>
    <x v="2"/>
    <n v="2.8E-3"/>
    <x v="0"/>
  </r>
  <r>
    <x v="0"/>
    <x v="24"/>
    <n v="2.8E-3"/>
    <n v="1.3818049999999999"/>
    <n v="0.98180499999999993"/>
    <x v="4"/>
    <n v="0"/>
    <x v="0"/>
  </r>
  <r>
    <x v="0"/>
    <x v="24"/>
    <n v="2.8E-3"/>
    <n v="1.4040570000000001"/>
    <n v="1.004057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2685599999999999"/>
    <n v="1.86856"/>
    <x v="2"/>
    <n v="2.8E-3"/>
    <x v="0"/>
  </r>
  <r>
    <x v="5"/>
    <x v="59"/>
    <n v="1.47E-2"/>
    <n v="4.134233"/>
    <n v="3.7342330000000001"/>
    <x v="1"/>
    <n v="4.41E-2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726"/>
    <n v="2.3260000000000001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2.532203"/>
    <n v="2.1322030000000001"/>
    <x v="6"/>
    <n v="5.5999999999999999E-3"/>
    <x v="0"/>
  </r>
  <r>
    <x v="0"/>
    <x v="24"/>
    <n v="2.8E-3"/>
    <n v="2.532203"/>
    <n v="2.1322030000000001"/>
    <x v="6"/>
    <n v="5.5999999999999999E-3"/>
    <x v="0"/>
  </r>
  <r>
    <x v="1"/>
    <x v="5"/>
    <n v="8.5500000000000003E-3"/>
    <n v="1.2450000000000001"/>
    <n v="0.84500000000000008"/>
    <x v="4"/>
    <n v="0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2.726"/>
    <n v="2.326000000000000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2.532203"/>
    <n v="2.1322030000000001"/>
    <x v="6"/>
    <n v="5.5999999999999999E-3"/>
    <x v="0"/>
  </r>
  <r>
    <x v="0"/>
    <x v="24"/>
    <n v="2.8E-3"/>
    <n v="2.532203"/>
    <n v="2.1322030000000001"/>
    <x v="6"/>
    <n v="5.5999999999999999E-3"/>
    <x v="0"/>
  </r>
  <r>
    <x v="1"/>
    <x v="5"/>
    <n v="8.5500000000000003E-3"/>
    <n v="1.2450000000000001"/>
    <n v="0.84500000000000008"/>
    <x v="4"/>
    <n v="0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726"/>
    <n v="2.3260000000000001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4"/>
    <x v="41"/>
    <n v="3.5100000000000001E-3"/>
    <n v="4.21"/>
    <n v="3.81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2.532203"/>
    <n v="2.1322030000000001"/>
    <x v="6"/>
    <n v="5.5999999999999999E-3"/>
    <x v="0"/>
  </r>
  <r>
    <x v="0"/>
    <x v="24"/>
    <n v="2.8E-3"/>
    <n v="2.532203"/>
    <n v="2.1322030000000001"/>
    <x v="6"/>
    <n v="5.5999999999999999E-3"/>
    <x v="0"/>
  </r>
  <r>
    <x v="1"/>
    <x v="5"/>
    <n v="8.5500000000000003E-3"/>
    <n v="1.2450000000000001"/>
    <n v="0.84500000000000008"/>
    <x v="4"/>
    <n v="0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2.726"/>
    <n v="2.326000000000000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34910000000001"/>
    <n v="2.8434910000000002"/>
    <x v="6"/>
    <n v="5.5999999999999999E-3"/>
    <x v="0"/>
  </r>
  <r>
    <x v="0"/>
    <x v="24"/>
    <n v="2.8E-3"/>
    <n v="3.2434910000000001"/>
    <n v="2.8434910000000002"/>
    <x v="6"/>
    <n v="5.5999999999999999E-3"/>
    <x v="0"/>
  </r>
  <r>
    <x v="0"/>
    <x v="49"/>
    <n v="3.16E-3"/>
    <n v="8.0939999999999994"/>
    <n v="7.6939999999999991"/>
    <x v="0"/>
    <n v="2.2120000000000001E-2"/>
    <x v="0"/>
  </r>
  <r>
    <x v="0"/>
    <x v="49"/>
    <n v="3.16E-3"/>
    <n v="8.0939999999999994"/>
    <n v="7.6939999999999991"/>
    <x v="0"/>
    <n v="2.212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4"/>
    <x v="41"/>
    <n v="3.5100000000000001E-3"/>
    <n v="4.21"/>
    <n v="3.81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6779999999999999"/>
    <n v="1.278"/>
    <x v="2"/>
    <n v="8.5500000000000003E-3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0"/>
    <x v="24"/>
    <n v="2.8E-3"/>
    <n v="2.815636"/>
    <n v="2.4156360000000001"/>
    <x v="6"/>
    <n v="5.5999999999999999E-3"/>
    <x v="0"/>
  </r>
  <r>
    <x v="0"/>
    <x v="24"/>
    <n v="2.8E-3"/>
    <n v="2.815636"/>
    <n v="2.4156360000000001"/>
    <x v="6"/>
    <n v="5.5999999999999999E-3"/>
    <x v="0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1"/>
    <n v="3.2699999999999999E-3"/>
    <n v="2.8079999999999998"/>
    <n v="2.4079999999999999"/>
    <x v="6"/>
    <n v="6.5399999999999998E-3"/>
    <x v="1"/>
  </r>
  <r>
    <x v="4"/>
    <x v="61"/>
    <n v="3.2699999999999999E-3"/>
    <n v="2.5579999999999998"/>
    <n v="2.1579999999999999"/>
    <x v="6"/>
    <n v="6.5399999999999998E-3"/>
    <x v="1"/>
  </r>
  <r>
    <x v="4"/>
    <x v="61"/>
    <n v="3.2699999999999999E-3"/>
    <n v="2.7280000000000002"/>
    <n v="2.3280000000000003"/>
    <x v="6"/>
    <n v="6.5399999999999998E-3"/>
    <x v="1"/>
  </r>
  <r>
    <x v="4"/>
    <x v="61"/>
    <n v="3.2699999999999999E-3"/>
    <n v="2.8079999999999998"/>
    <n v="2.4079999999999999"/>
    <x v="6"/>
    <n v="6.5399999999999998E-3"/>
    <x v="1"/>
  </r>
  <r>
    <x v="4"/>
    <x v="61"/>
    <n v="3.2699999999999999E-3"/>
    <n v="2.5579999999999998"/>
    <n v="2.1579999999999999"/>
    <x v="6"/>
    <n v="6.5399999999999998E-3"/>
    <x v="1"/>
  </r>
  <r>
    <x v="4"/>
    <x v="61"/>
    <n v="3.2699999999999999E-3"/>
    <n v="2.7280000000000002"/>
    <n v="2.3280000000000003"/>
    <x v="6"/>
    <n v="6.5399999999999998E-3"/>
    <x v="1"/>
  </r>
  <r>
    <x v="0"/>
    <x v="24"/>
    <n v="2.8E-3"/>
    <n v="2.5"/>
    <n v="2.1"/>
    <x v="6"/>
    <n v="5.5999999999999999E-3"/>
    <x v="0"/>
  </r>
  <r>
    <x v="0"/>
    <x v="24"/>
    <n v="2.8E-3"/>
    <n v="3.25"/>
    <n v="2.85"/>
    <x v="6"/>
    <n v="5.5999999999999999E-3"/>
    <x v="0"/>
  </r>
  <r>
    <x v="0"/>
    <x v="24"/>
    <n v="2.8E-3"/>
    <n v="2.8180000000000001"/>
    <n v="2.4180000000000001"/>
    <x v="6"/>
    <n v="5.5999999999999999E-3"/>
    <x v="0"/>
  </r>
  <r>
    <x v="0"/>
    <x v="24"/>
    <n v="2.8E-3"/>
    <n v="2.8180000000000001"/>
    <n v="2.4180000000000001"/>
    <x v="6"/>
    <n v="5.5999999999999999E-3"/>
    <x v="0"/>
  </r>
  <r>
    <x v="0"/>
    <x v="24"/>
    <n v="2.8E-3"/>
    <n v="2.5"/>
    <n v="2.1"/>
    <x v="6"/>
    <n v="5.5999999999999999E-3"/>
    <x v="0"/>
  </r>
  <r>
    <x v="0"/>
    <x v="46"/>
    <n v="3.6099999999999999E-3"/>
    <n v="3.65"/>
    <n v="3.25"/>
    <x v="1"/>
    <n v="1.0829999999999999E-2"/>
    <x v="0"/>
  </r>
  <r>
    <x v="0"/>
    <x v="24"/>
    <n v="2.8E-3"/>
    <n v="2.5"/>
    <n v="2.1"/>
    <x v="6"/>
    <n v="5.5999999999999999E-3"/>
    <x v="0"/>
  </r>
  <r>
    <x v="3"/>
    <x v="18"/>
    <n v="3.6600000000000001E-2"/>
    <n v="8.0939999999999994"/>
    <n v="7.6939999999999991"/>
    <x v="0"/>
    <n v="0.25619999999999998"/>
    <x v="0"/>
  </r>
  <r>
    <x v="3"/>
    <x v="18"/>
    <n v="3.6600000000000001E-2"/>
    <n v="8.0939999999999994"/>
    <n v="7.6939999999999991"/>
    <x v="0"/>
    <n v="0.25619999999999998"/>
    <x v="0"/>
  </r>
  <r>
    <x v="3"/>
    <x v="18"/>
    <n v="3.6600000000000001E-2"/>
    <n v="3.65"/>
    <n v="3.25"/>
    <x v="1"/>
    <n v="0.10980000000000001"/>
    <x v="0"/>
  </r>
  <r>
    <x v="3"/>
    <x v="18"/>
    <n v="3.6600000000000001E-2"/>
    <n v="3.65"/>
    <n v="3.25"/>
    <x v="1"/>
    <n v="0.10980000000000001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1"/>
    <x v="5"/>
    <n v="8.5500000000000003E-3"/>
    <n v="0.80763099999999999"/>
    <n v="0.40763099999999997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450000000000001"/>
    <n v="0.84500000000000008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1.214"/>
    <n v="0.81399999999999995"/>
    <x v="4"/>
    <n v="0"/>
    <x v="0"/>
  </r>
  <r>
    <x v="0"/>
    <x v="24"/>
    <n v="2.8E-3"/>
    <n v="2.532203"/>
    <n v="2.1322030000000001"/>
    <x v="6"/>
    <n v="5.5999999999999999E-3"/>
    <x v="0"/>
  </r>
  <r>
    <x v="0"/>
    <x v="24"/>
    <n v="2.8E-3"/>
    <n v="2.532203"/>
    <n v="2.1322030000000001"/>
    <x v="6"/>
    <n v="5.5999999999999999E-3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0.80400000000000005"/>
    <n v="0.40400000000000003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0.80400000000000005"/>
    <n v="0.40400000000000003"/>
    <x v="4"/>
    <n v="0"/>
    <x v="0"/>
  </r>
  <r>
    <x v="0"/>
    <x v="24"/>
    <n v="2.8E-3"/>
    <n v="2.89"/>
    <n v="2.4900000000000002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59"/>
    <n v="3.19"/>
    <x v="1"/>
    <n v="8.3999999999999995E-3"/>
    <x v="0"/>
  </r>
  <r>
    <x v="0"/>
    <x v="24"/>
    <n v="2.8E-3"/>
    <n v="2.6480000000000001"/>
    <n v="2.2480000000000002"/>
    <x v="6"/>
    <n v="5.5999999999999999E-3"/>
    <x v="0"/>
  </r>
  <r>
    <x v="0"/>
    <x v="24"/>
    <n v="2.8E-3"/>
    <n v="2.6480000000000001"/>
    <n v="2.2480000000000002"/>
    <x v="6"/>
    <n v="5.5999999999999999E-3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4"/>
    <x v="41"/>
    <n v="3.5100000000000001E-3"/>
    <n v="4.21"/>
    <n v="3.81"/>
    <x v="1"/>
    <n v="1.053000000000000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24"/>
    <n v="2.8E-3"/>
    <n v="3.65"/>
    <n v="3.25"/>
    <x v="1"/>
    <n v="8.3999999999999995E-3"/>
    <x v="0"/>
  </r>
  <r>
    <x v="0"/>
    <x v="24"/>
    <n v="2.8E-3"/>
    <n v="2.87"/>
    <n v="2.4700000000000002"/>
    <x v="6"/>
    <n v="5.5999999999999999E-3"/>
    <x v="0"/>
  </r>
  <r>
    <x v="0"/>
    <x v="24"/>
    <n v="2.8E-3"/>
    <n v="3.25"/>
    <n v="2.85"/>
    <x v="6"/>
    <n v="5.5999999999999999E-3"/>
    <x v="0"/>
  </r>
  <r>
    <x v="0"/>
    <x v="24"/>
    <n v="2.8E-3"/>
    <n v="2.87"/>
    <n v="2.4700000000000002"/>
    <x v="6"/>
    <n v="5.5999999999999999E-3"/>
    <x v="0"/>
  </r>
  <r>
    <x v="0"/>
    <x v="24"/>
    <n v="2.8E-3"/>
    <n v="2.87"/>
    <n v="2.4700000000000002"/>
    <x v="6"/>
    <n v="5.5999999999999999E-3"/>
    <x v="0"/>
  </r>
  <r>
    <x v="0"/>
    <x v="24"/>
    <n v="2.8E-3"/>
    <n v="3.25"/>
    <n v="2.85"/>
    <x v="6"/>
    <n v="5.5999999999999999E-3"/>
    <x v="0"/>
  </r>
  <r>
    <x v="0"/>
    <x v="24"/>
    <n v="2.8E-3"/>
    <n v="2.87"/>
    <n v="2.4700000000000002"/>
    <x v="6"/>
    <n v="5.5999999999999999E-3"/>
    <x v="0"/>
  </r>
  <r>
    <x v="0"/>
    <x v="24"/>
    <n v="2.8E-3"/>
    <n v="3.59"/>
    <n v="3.19"/>
    <x v="1"/>
    <n v="8.3999999999999995E-3"/>
    <x v="0"/>
  </r>
  <r>
    <x v="0"/>
    <x v="24"/>
    <n v="2.8E-3"/>
    <n v="3.65"/>
    <n v="3.25"/>
    <x v="1"/>
    <n v="8.3999999999999995E-3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3.427"/>
    <n v="3.0270000000000001"/>
    <x v="1"/>
    <n v="8.3999999999999995E-3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4"/>
    <x v="58"/>
    <n v="3.0400000000000002E-3"/>
    <n v="0.97"/>
    <n v="0.56999999999999995"/>
    <x v="4"/>
    <n v="0"/>
    <x v="0"/>
  </r>
  <r>
    <x v="4"/>
    <x v="58"/>
    <n v="3.0400000000000002E-3"/>
    <n v="0.86655899999999997"/>
    <n v="0.46655899999999995"/>
    <x v="4"/>
    <n v="0"/>
    <x v="0"/>
  </r>
  <r>
    <x v="4"/>
    <x v="58"/>
    <n v="3.0400000000000002E-3"/>
    <n v="0.84145700000000001"/>
    <n v="0.44145699999999999"/>
    <x v="4"/>
    <n v="0"/>
    <x v="0"/>
  </r>
  <r>
    <x v="4"/>
    <x v="58"/>
    <n v="3.0400000000000002E-3"/>
    <n v="0.86655899999999997"/>
    <n v="0.46655899999999995"/>
    <x v="4"/>
    <n v="0"/>
    <x v="0"/>
  </r>
  <r>
    <x v="4"/>
    <x v="58"/>
    <n v="3.0400000000000002E-3"/>
    <n v="0.84145700000000001"/>
    <n v="0.44145699999999999"/>
    <x v="4"/>
    <n v="0"/>
    <x v="0"/>
  </r>
  <r>
    <x v="4"/>
    <x v="58"/>
    <n v="3.0400000000000002E-3"/>
    <n v="0.97"/>
    <n v="0.56999999999999995"/>
    <x v="4"/>
    <n v="0"/>
    <x v="0"/>
  </r>
  <r>
    <x v="4"/>
    <x v="58"/>
    <n v="3.0400000000000002E-3"/>
    <n v="0.54"/>
    <n v="0.14000000000000001"/>
    <x v="4"/>
    <n v="0"/>
    <x v="0"/>
  </r>
  <r>
    <x v="1"/>
    <x v="5"/>
    <n v="8.5500000000000003E-3"/>
    <n v="1.135"/>
    <n v="0.73499999999999999"/>
    <x v="4"/>
    <n v="0"/>
    <x v="0"/>
  </r>
  <r>
    <x v="4"/>
    <x v="58"/>
    <n v="3.0400000000000002E-3"/>
    <n v="0.505"/>
    <n v="0.10499999999999998"/>
    <x v="4"/>
    <n v="0"/>
    <x v="0"/>
  </r>
  <r>
    <x v="4"/>
    <x v="58"/>
    <n v="3.0400000000000002E-3"/>
    <n v="0.54"/>
    <n v="0.14000000000000001"/>
    <x v="4"/>
    <n v="0"/>
    <x v="0"/>
  </r>
  <r>
    <x v="1"/>
    <x v="5"/>
    <n v="8.5500000000000003E-3"/>
    <n v="1.135"/>
    <n v="0.73499999999999999"/>
    <x v="4"/>
    <n v="0"/>
    <x v="0"/>
  </r>
  <r>
    <x v="4"/>
    <x v="58"/>
    <n v="3.0400000000000002E-3"/>
    <n v="0.54"/>
    <n v="0.14000000000000001"/>
    <x v="4"/>
    <n v="0"/>
    <x v="0"/>
  </r>
  <r>
    <x v="4"/>
    <x v="58"/>
    <n v="3.0400000000000002E-3"/>
    <n v="0.505"/>
    <n v="0.10499999999999998"/>
    <x v="4"/>
    <n v="0"/>
    <x v="0"/>
  </r>
  <r>
    <x v="4"/>
    <x v="58"/>
    <n v="3.0400000000000002E-3"/>
    <n v="0.54"/>
    <n v="0.14000000000000001"/>
    <x v="4"/>
    <n v="0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4"/>
    <x v="41"/>
    <n v="3.5100000000000001E-3"/>
    <n v="4.21"/>
    <n v="3.81"/>
    <x v="1"/>
    <n v="1.0530000000000001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2.6480000000000001"/>
    <n v="2.2480000000000002"/>
    <x v="6"/>
    <n v="5.5999999999999999E-3"/>
    <x v="0"/>
  </r>
  <r>
    <x v="0"/>
    <x v="24"/>
    <n v="2.8E-3"/>
    <n v="2.6480000000000001"/>
    <n v="2.248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1.42"/>
    <n v="1.02"/>
    <x v="2"/>
    <n v="2.8E-3"/>
    <x v="0"/>
  </r>
  <r>
    <x v="0"/>
    <x v="24"/>
    <n v="2.8E-3"/>
    <n v="1.19"/>
    <n v="0.78999999999999992"/>
    <x v="4"/>
    <n v="0"/>
    <x v="0"/>
  </r>
  <r>
    <x v="0"/>
    <x v="24"/>
    <n v="2.8E-3"/>
    <n v="1.7769999999999999"/>
    <n v="1.3769999999999998"/>
    <x v="2"/>
    <n v="2.8E-3"/>
    <x v="0"/>
  </r>
  <r>
    <x v="0"/>
    <x v="24"/>
    <n v="2.8E-3"/>
    <n v="1.7769999999999999"/>
    <n v="1.3769999999999998"/>
    <x v="2"/>
    <n v="2.8E-3"/>
    <x v="0"/>
  </r>
  <r>
    <x v="0"/>
    <x v="24"/>
    <n v="2.8E-3"/>
    <n v="1.42"/>
    <n v="1.02"/>
    <x v="2"/>
    <n v="2.8E-3"/>
    <x v="0"/>
  </r>
  <r>
    <x v="0"/>
    <x v="24"/>
    <n v="2.8E-3"/>
    <n v="1.7769999999999999"/>
    <n v="1.3769999999999998"/>
    <x v="2"/>
    <n v="2.8E-3"/>
    <x v="0"/>
  </r>
  <r>
    <x v="0"/>
    <x v="24"/>
    <n v="2.8E-3"/>
    <n v="1.19"/>
    <n v="0.78999999999999992"/>
    <x v="4"/>
    <n v="0"/>
    <x v="0"/>
  </r>
  <r>
    <x v="0"/>
    <x v="24"/>
    <n v="2.8E-3"/>
    <n v="1.7769999999999999"/>
    <n v="1.3769999999999998"/>
    <x v="2"/>
    <n v="2.8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0"/>
    <x v="19"/>
    <n v="8.5500000000000003E-3"/>
    <n v="4.2619999999999996"/>
    <n v="3.8619999999999997"/>
    <x v="1"/>
    <n v="2.5649999999999999E-2"/>
    <x v="0"/>
  </r>
  <r>
    <x v="4"/>
    <x v="62"/>
    <n v="1.8799999999999999E-3"/>
    <n v="1.419"/>
    <n v="1.0190000000000001"/>
    <x v="2"/>
    <n v="1.8799999999999999E-3"/>
    <x v="1"/>
  </r>
  <r>
    <x v="4"/>
    <x v="53"/>
    <n v="2.2799999999999999E-3"/>
    <n v="2.2149999999999999"/>
    <n v="1.8149999999999999"/>
    <x v="2"/>
    <n v="2.2799999999999999E-3"/>
    <x v="0"/>
  </r>
  <r>
    <x v="0"/>
    <x v="46"/>
    <n v="3.6099999999999999E-3"/>
    <n v="1.65"/>
    <n v="1.25"/>
    <x v="2"/>
    <n v="3.6099999999999999E-3"/>
    <x v="0"/>
  </r>
  <r>
    <x v="0"/>
    <x v="46"/>
    <n v="3.6099999999999999E-3"/>
    <n v="1.65"/>
    <n v="1.25"/>
    <x v="2"/>
    <n v="3.6099999999999999E-3"/>
    <x v="0"/>
  </r>
  <r>
    <x v="0"/>
    <x v="24"/>
    <n v="2.8E-3"/>
    <n v="3.3"/>
    <n v="2.9"/>
    <x v="6"/>
    <n v="5.5999999999999999E-3"/>
    <x v="0"/>
  </r>
  <r>
    <x v="0"/>
    <x v="24"/>
    <n v="2.8E-3"/>
    <n v="2.718"/>
    <n v="2.3180000000000001"/>
    <x v="6"/>
    <n v="5.5999999999999999E-3"/>
    <x v="0"/>
  </r>
  <r>
    <x v="0"/>
    <x v="21"/>
    <n v="4.9800000000000001E-3"/>
    <n v="6.827"/>
    <n v="6.4269999999999996"/>
    <x v="5"/>
    <n v="2.988E-2"/>
    <x v="0"/>
  </r>
  <r>
    <x v="0"/>
    <x v="49"/>
    <n v="3.16E-3"/>
    <n v="6.827"/>
    <n v="6.4269999999999996"/>
    <x v="5"/>
    <n v="1.8960000000000001E-2"/>
    <x v="0"/>
  </r>
  <r>
    <x v="0"/>
    <x v="49"/>
    <n v="3.16E-3"/>
    <n v="0.4"/>
    <n v="0"/>
    <x v="4"/>
    <n v="0"/>
    <x v="0"/>
  </r>
  <r>
    <x v="0"/>
    <x v="49"/>
    <n v="3.16E-3"/>
    <n v="3.65"/>
    <n v="3.25"/>
    <x v="1"/>
    <n v="9.4800000000000006E-3"/>
    <x v="0"/>
  </r>
  <r>
    <x v="0"/>
    <x v="24"/>
    <n v="2.8E-3"/>
    <n v="4.1749999999999998"/>
    <n v="3.7749999999999999"/>
    <x v="1"/>
    <n v="8.3999999999999995E-3"/>
    <x v="0"/>
  </r>
  <r>
    <x v="0"/>
    <x v="48"/>
    <n v="7.62E-3"/>
    <n v="7.1689999999999996"/>
    <n v="6.7689999999999992"/>
    <x v="5"/>
    <n v="4.5719999999999997E-2"/>
    <x v="0"/>
  </r>
  <r>
    <x v="0"/>
    <x v="50"/>
    <n v="5.8599999999999998E-3"/>
    <n v="4.2619999999999996"/>
    <n v="3.8619999999999997"/>
    <x v="1"/>
    <n v="1.7579999999999998E-2"/>
    <x v="0"/>
  </r>
  <r>
    <x v="0"/>
    <x v="47"/>
    <n v="9.4599999999999997E-3"/>
    <n v="7.8940000000000001"/>
    <n v="7.4939999999999998"/>
    <x v="0"/>
    <n v="6.6220000000000001E-2"/>
    <x v="0"/>
  </r>
  <r>
    <x v="0"/>
    <x v="24"/>
    <n v="2.8E-3"/>
    <n v="3.45"/>
    <n v="3.0500000000000003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4.2619999999999996"/>
    <n v="3.8619999999999997"/>
    <x v="1"/>
    <n v="8.3999999999999995E-3"/>
    <x v="0"/>
  </r>
  <r>
    <x v="0"/>
    <x v="49"/>
    <n v="3.16E-3"/>
    <n v="0.4"/>
    <n v="0"/>
    <x v="4"/>
    <n v="0"/>
    <x v="0"/>
  </r>
  <r>
    <x v="0"/>
    <x v="24"/>
    <n v="2.8E-3"/>
    <n v="4.1749999999999998"/>
    <n v="3.7749999999999999"/>
    <x v="1"/>
    <n v="8.3999999999999995E-3"/>
    <x v="0"/>
  </r>
  <r>
    <x v="0"/>
    <x v="48"/>
    <n v="7.62E-3"/>
    <n v="7.1689999999999996"/>
    <n v="6.7689999999999992"/>
    <x v="5"/>
    <n v="4.5719999999999997E-2"/>
    <x v="0"/>
  </r>
  <r>
    <x v="0"/>
    <x v="50"/>
    <n v="5.8599999999999998E-3"/>
    <n v="4.2619999999999996"/>
    <n v="3.8619999999999997"/>
    <x v="1"/>
    <n v="1.7579999999999998E-2"/>
    <x v="0"/>
  </r>
  <r>
    <x v="0"/>
    <x v="24"/>
    <n v="2.8E-3"/>
    <n v="2.573"/>
    <n v="2.173"/>
    <x v="6"/>
    <n v="5.5999999999999999E-3"/>
    <x v="0"/>
  </r>
  <r>
    <x v="0"/>
    <x v="49"/>
    <n v="3.16E-3"/>
    <n v="3.65"/>
    <n v="3.25"/>
    <x v="1"/>
    <n v="9.4800000000000006E-3"/>
    <x v="0"/>
  </r>
  <r>
    <x v="0"/>
    <x v="24"/>
    <n v="2.8E-3"/>
    <n v="2.573"/>
    <n v="2.173"/>
    <x v="6"/>
    <n v="5.5999999999999999E-3"/>
    <x v="0"/>
  </r>
  <r>
    <x v="0"/>
    <x v="49"/>
    <n v="3.16E-3"/>
    <n v="0.4"/>
    <n v="0"/>
    <x v="4"/>
    <n v="0"/>
    <x v="0"/>
  </r>
  <r>
    <x v="0"/>
    <x v="47"/>
    <n v="9.4599999999999997E-3"/>
    <n v="7.8940000000000001"/>
    <n v="7.4939999999999998"/>
    <x v="0"/>
    <n v="6.6220000000000001E-2"/>
    <x v="0"/>
  </r>
  <r>
    <x v="0"/>
    <x v="24"/>
    <n v="2.8E-3"/>
    <n v="3.45"/>
    <n v="3.0500000000000003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4.2619999999999996"/>
    <n v="3.8619999999999997"/>
    <x v="1"/>
    <n v="8.3999999999999995E-3"/>
    <x v="0"/>
  </r>
  <r>
    <x v="0"/>
    <x v="21"/>
    <n v="4.9800000000000001E-3"/>
    <n v="6.835"/>
    <n v="6.4349999999999996"/>
    <x v="5"/>
    <n v="2.988E-2"/>
    <x v="0"/>
  </r>
  <r>
    <x v="0"/>
    <x v="49"/>
    <n v="3.16E-3"/>
    <n v="6.835"/>
    <n v="6.4349999999999996"/>
    <x v="5"/>
    <n v="1.8960000000000001E-2"/>
    <x v="0"/>
  </r>
  <r>
    <x v="0"/>
    <x v="49"/>
    <n v="3.16E-3"/>
    <n v="0.4"/>
    <n v="0"/>
    <x v="4"/>
    <n v="0"/>
    <x v="0"/>
  </r>
  <r>
    <x v="0"/>
    <x v="46"/>
    <n v="3.6099999999999999E-3"/>
    <n v="2.1749999999999998"/>
    <n v="1.7749999999999999"/>
    <x v="2"/>
    <n v="3.6099999999999999E-3"/>
    <x v="0"/>
  </r>
  <r>
    <x v="0"/>
    <x v="46"/>
    <n v="3.6099999999999999E-3"/>
    <n v="2.1749999999999998"/>
    <n v="1.77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1749999999999998"/>
    <n v="1.7749999999999999"/>
    <x v="2"/>
    <n v="3.6099999999999999E-3"/>
    <x v="0"/>
  </r>
  <r>
    <x v="0"/>
    <x v="46"/>
    <n v="3.6099999999999999E-3"/>
    <n v="2.1749999999999998"/>
    <n v="1.77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63"/>
    <n v="2.47E-2"/>
    <n v="7.8940000000000001"/>
    <n v="7.4939999999999998"/>
    <x v="0"/>
    <n v="0.1729"/>
    <x v="1"/>
  </r>
  <r>
    <x v="0"/>
    <x v="46"/>
    <n v="3.6099999999999999E-3"/>
    <n v="2.6480000000000001"/>
    <n v="2.2480000000000002"/>
    <x v="6"/>
    <n v="7.2199999999999999E-3"/>
    <x v="0"/>
  </r>
  <r>
    <x v="0"/>
    <x v="46"/>
    <n v="3.6099999999999999E-3"/>
    <n v="2.573"/>
    <n v="2.173"/>
    <x v="6"/>
    <n v="7.2199999999999999E-3"/>
    <x v="0"/>
  </r>
  <r>
    <x v="0"/>
    <x v="46"/>
    <n v="3.6099999999999999E-3"/>
    <n v="1.2450000000000001"/>
    <n v="0.84500000000000008"/>
    <x v="4"/>
    <n v="0"/>
    <x v="0"/>
  </r>
  <r>
    <x v="0"/>
    <x v="46"/>
    <n v="3.6099999999999999E-3"/>
    <n v="1.32"/>
    <n v="0.92"/>
    <x v="4"/>
    <n v="0"/>
    <x v="0"/>
  </r>
  <r>
    <x v="0"/>
    <x v="46"/>
    <n v="3.6099999999999999E-3"/>
    <n v="1.4059999999999999"/>
    <n v="1.0059999999999998"/>
    <x v="2"/>
    <n v="3.6099999999999999E-3"/>
    <x v="0"/>
  </r>
  <r>
    <x v="0"/>
    <x v="63"/>
    <n v="2.47E-2"/>
    <n v="7.8940000000000001"/>
    <n v="7.4939999999999998"/>
    <x v="0"/>
    <n v="0.1729"/>
    <x v="1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1.32"/>
    <n v="0.92"/>
    <x v="4"/>
    <n v="0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1.2450000000000001"/>
    <n v="0.84500000000000008"/>
    <x v="4"/>
    <n v="0"/>
    <x v="0"/>
  </r>
  <r>
    <x v="0"/>
    <x v="46"/>
    <n v="3.6099999999999999E-3"/>
    <n v="1.3580000000000001"/>
    <n v="0.95800000000000007"/>
    <x v="4"/>
    <n v="0"/>
    <x v="0"/>
  </r>
  <r>
    <x v="0"/>
    <x v="63"/>
    <n v="2.47E-2"/>
    <n v="7.8940000000000001"/>
    <n v="7.4939999999999998"/>
    <x v="0"/>
    <n v="0.1729"/>
    <x v="1"/>
  </r>
  <r>
    <x v="0"/>
    <x v="46"/>
    <n v="3.6099999999999999E-3"/>
    <n v="2.6480000000000001"/>
    <n v="2.2480000000000002"/>
    <x v="6"/>
    <n v="7.2199999999999999E-3"/>
    <x v="0"/>
  </r>
  <r>
    <x v="0"/>
    <x v="46"/>
    <n v="3.6099999999999999E-3"/>
    <n v="2.573"/>
    <n v="2.173"/>
    <x v="6"/>
    <n v="7.2199999999999999E-3"/>
    <x v="0"/>
  </r>
  <r>
    <x v="0"/>
    <x v="46"/>
    <n v="3.6099999999999999E-3"/>
    <n v="1.2450000000000001"/>
    <n v="0.84500000000000008"/>
    <x v="4"/>
    <n v="0"/>
    <x v="0"/>
  </r>
  <r>
    <x v="0"/>
    <x v="46"/>
    <n v="3.6099999999999999E-3"/>
    <n v="1.32"/>
    <n v="0.92"/>
    <x v="4"/>
    <n v="0"/>
    <x v="0"/>
  </r>
  <r>
    <x v="0"/>
    <x v="46"/>
    <n v="3.6099999999999999E-3"/>
    <n v="1.4059999999999999"/>
    <n v="1.0059999999999998"/>
    <x v="2"/>
    <n v="3.6099999999999999E-3"/>
    <x v="0"/>
  </r>
  <r>
    <x v="0"/>
    <x v="63"/>
    <n v="2.47E-2"/>
    <n v="7.8940000000000001"/>
    <n v="7.4939999999999998"/>
    <x v="0"/>
    <n v="0.1729"/>
    <x v="1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1.2450000000000001"/>
    <n v="0.84500000000000008"/>
    <x v="4"/>
    <n v="0"/>
    <x v="0"/>
  </r>
  <r>
    <x v="0"/>
    <x v="46"/>
    <n v="3.6099999999999999E-3"/>
    <n v="1.32"/>
    <n v="0.92"/>
    <x v="4"/>
    <n v="0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1.3580000000000001"/>
    <n v="0.95800000000000007"/>
    <x v="4"/>
    <n v="0"/>
    <x v="0"/>
  </r>
  <r>
    <x v="6"/>
    <x v="64"/>
    <n v="1.25E-3"/>
    <n v="4.5829069999999996"/>
    <n v="4.1829069999999993"/>
    <x v="3"/>
    <n v="5.0000000000000001E-3"/>
    <x v="0"/>
  </r>
  <r>
    <x v="6"/>
    <x v="64"/>
    <n v="1.25E-3"/>
    <n v="4.5829069999999996"/>
    <n v="4.1829069999999993"/>
    <x v="3"/>
    <n v="5.0000000000000001E-3"/>
    <x v="0"/>
  </r>
  <r>
    <x v="6"/>
    <x v="64"/>
    <n v="1.25E-3"/>
    <n v="4.5829069999999996"/>
    <n v="4.1829069999999993"/>
    <x v="3"/>
    <n v="5.0000000000000001E-3"/>
    <x v="0"/>
  </r>
  <r>
    <x v="6"/>
    <x v="64"/>
    <n v="1.25E-3"/>
    <n v="4.5829079999999998"/>
    <n v="4.1829079999999994"/>
    <x v="3"/>
    <n v="5.0000000000000001E-3"/>
    <x v="0"/>
  </r>
  <r>
    <x v="6"/>
    <x v="64"/>
    <n v="1.25E-3"/>
    <n v="4.5829079999999998"/>
    <n v="4.1829079999999994"/>
    <x v="3"/>
    <n v="5.0000000000000001E-3"/>
    <x v="0"/>
  </r>
  <r>
    <x v="6"/>
    <x v="64"/>
    <n v="1.25E-3"/>
    <n v="4.5829079999999998"/>
    <n v="4.1829079999999994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0659999999998"/>
    <n v="4.3350659999999994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0659999999998"/>
    <n v="4.3350659999999994"/>
    <x v="3"/>
    <n v="5.0000000000000001E-3"/>
    <x v="0"/>
  </r>
  <r>
    <x v="6"/>
    <x v="64"/>
    <n v="1.25E-3"/>
    <n v="4.7352800000000004"/>
    <n v="4.33528"/>
    <x v="3"/>
    <n v="5.0000000000000001E-3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4.0355400000000001"/>
    <n v="3.6355400000000002"/>
    <x v="1"/>
    <n v="1.7610000000000001E-2"/>
    <x v="0"/>
  </r>
  <r>
    <x v="3"/>
    <x v="65"/>
    <n v="5.8700000000000002E-3"/>
    <n v="4.0355400000000001"/>
    <n v="3.6355400000000002"/>
    <x v="1"/>
    <n v="1.7610000000000001E-2"/>
    <x v="0"/>
  </r>
  <r>
    <x v="3"/>
    <x v="65"/>
    <n v="5.8700000000000002E-3"/>
    <n v="4.0355400000000001"/>
    <n v="3.6355400000000002"/>
    <x v="1"/>
    <n v="1.7610000000000001E-2"/>
    <x v="0"/>
  </r>
  <r>
    <x v="3"/>
    <x v="65"/>
    <n v="5.8700000000000002E-3"/>
    <n v="4.0355400000000001"/>
    <n v="3.6355400000000002"/>
    <x v="1"/>
    <n v="1.7610000000000001E-2"/>
    <x v="0"/>
  </r>
  <r>
    <x v="6"/>
    <x v="64"/>
    <n v="1.25E-3"/>
    <n v="4.5829069999999996"/>
    <n v="4.1829069999999993"/>
    <x v="3"/>
    <n v="5.0000000000000001E-3"/>
    <x v="0"/>
  </r>
  <r>
    <x v="6"/>
    <x v="64"/>
    <n v="1.25E-3"/>
    <n v="4.5829069999999996"/>
    <n v="4.1829069999999993"/>
    <x v="3"/>
    <n v="5.0000000000000001E-3"/>
    <x v="0"/>
  </r>
  <r>
    <x v="5"/>
    <x v="59"/>
    <n v="1.47E-2"/>
    <n v="7.5"/>
    <n v="7.1"/>
    <x v="0"/>
    <n v="0.10289999999999999"/>
    <x v="0"/>
  </r>
  <r>
    <x v="5"/>
    <x v="59"/>
    <n v="1.47E-2"/>
    <n v="7.5"/>
    <n v="7.1"/>
    <x v="0"/>
    <n v="0.10289999999999999"/>
    <x v="0"/>
  </r>
  <r>
    <x v="5"/>
    <x v="59"/>
    <n v="1.47E-2"/>
    <n v="7.5"/>
    <n v="7.1"/>
    <x v="0"/>
    <n v="0.10289999999999999"/>
    <x v="0"/>
  </r>
  <r>
    <x v="5"/>
    <x v="59"/>
    <n v="1.47E-2"/>
    <n v="7.5"/>
    <n v="7.1"/>
    <x v="0"/>
    <n v="0.10289999999999999"/>
    <x v="0"/>
  </r>
  <r>
    <x v="0"/>
    <x v="24"/>
    <n v="2.8E-3"/>
    <n v="3.4340000000000002"/>
    <n v="3.0340000000000003"/>
    <x v="1"/>
    <n v="8.3999999999999995E-3"/>
    <x v="0"/>
  </r>
  <r>
    <x v="4"/>
    <x v="62"/>
    <n v="1.8799999999999999E-3"/>
    <n v="2.8079999999999998"/>
    <n v="2.4079999999999999"/>
    <x v="6"/>
    <n v="3.7599999999999999E-3"/>
    <x v="1"/>
  </r>
  <r>
    <x v="4"/>
    <x v="62"/>
    <n v="1.8799999999999999E-3"/>
    <n v="2.5579999999999998"/>
    <n v="2.1579999999999999"/>
    <x v="6"/>
    <n v="3.7599999999999999E-3"/>
    <x v="1"/>
  </r>
  <r>
    <x v="4"/>
    <x v="62"/>
    <n v="1.8799999999999999E-3"/>
    <n v="2.7280000000000002"/>
    <n v="2.3280000000000003"/>
    <x v="6"/>
    <n v="3.7599999999999999E-3"/>
    <x v="1"/>
  </r>
  <r>
    <x v="4"/>
    <x v="62"/>
    <n v="1.8799999999999999E-3"/>
    <n v="2.8079999999999998"/>
    <n v="2.4079999999999999"/>
    <x v="6"/>
    <n v="3.7599999999999999E-3"/>
    <x v="1"/>
  </r>
  <r>
    <x v="4"/>
    <x v="62"/>
    <n v="1.8799999999999999E-3"/>
    <n v="2.5579999999999998"/>
    <n v="2.1579999999999999"/>
    <x v="6"/>
    <n v="3.7599999999999999E-3"/>
    <x v="1"/>
  </r>
  <r>
    <x v="4"/>
    <x v="62"/>
    <n v="1.8799999999999999E-3"/>
    <n v="2.7280000000000002"/>
    <n v="2.3280000000000003"/>
    <x v="6"/>
    <n v="3.7599999999999999E-3"/>
    <x v="1"/>
  </r>
  <r>
    <x v="0"/>
    <x v="24"/>
    <n v="2.8E-3"/>
    <n v="3.0979999999999999"/>
    <n v="2.698"/>
    <x v="6"/>
    <n v="5.5999999999999999E-3"/>
    <x v="0"/>
  </r>
  <r>
    <x v="0"/>
    <x v="24"/>
    <n v="2.8E-3"/>
    <n v="2.69"/>
    <n v="2.29"/>
    <x v="6"/>
    <n v="5.5999999999999999E-3"/>
    <x v="0"/>
  </r>
  <r>
    <x v="0"/>
    <x v="24"/>
    <n v="2.8E-3"/>
    <n v="3.0979999999999999"/>
    <n v="2.698"/>
    <x v="6"/>
    <n v="5.5999999999999999E-3"/>
    <x v="0"/>
  </r>
  <r>
    <x v="0"/>
    <x v="24"/>
    <n v="2.8E-3"/>
    <n v="3.0979999999999999"/>
    <n v="2.698"/>
    <x v="6"/>
    <n v="5.5999999999999999E-3"/>
    <x v="0"/>
  </r>
  <r>
    <x v="0"/>
    <x v="24"/>
    <n v="2.8E-3"/>
    <n v="2.69"/>
    <n v="2.29"/>
    <x v="6"/>
    <n v="5.5999999999999999E-3"/>
    <x v="0"/>
  </r>
  <r>
    <x v="0"/>
    <x v="24"/>
    <n v="2.8E-3"/>
    <n v="3.0979999999999999"/>
    <n v="2.698"/>
    <x v="6"/>
    <n v="5.5999999999999999E-3"/>
    <x v="0"/>
  </r>
  <r>
    <x v="0"/>
    <x v="47"/>
    <n v="9.4599999999999997E-3"/>
    <n v="8.0939999999999994"/>
    <n v="7.6939999999999991"/>
    <x v="0"/>
    <n v="6.6220000000000001E-2"/>
    <x v="0"/>
  </r>
  <r>
    <x v="0"/>
    <x v="47"/>
    <n v="9.4599999999999997E-3"/>
    <n v="8.0939999999999994"/>
    <n v="7.6939999999999991"/>
    <x v="0"/>
    <n v="6.6220000000000001E-2"/>
    <x v="0"/>
  </r>
  <r>
    <x v="0"/>
    <x v="24"/>
    <n v="2.8E-3"/>
    <n v="3.65"/>
    <n v="3.25"/>
    <x v="1"/>
    <n v="8.3999999999999995E-3"/>
    <x v="0"/>
  </r>
  <r>
    <x v="0"/>
    <x v="24"/>
    <n v="2.8E-3"/>
    <n v="4.2619999999999996"/>
    <n v="3.8619999999999997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2"/>
    <x v="66"/>
    <n v="1.8599999999999998E-2"/>
    <n v="7.8940000000000001"/>
    <n v="7.4939999999999998"/>
    <x v="0"/>
    <n v="0.13019999999999998"/>
    <x v="1"/>
  </r>
  <r>
    <x v="0"/>
    <x v="24"/>
    <n v="2.8E-3"/>
    <n v="4.2619999999999996"/>
    <n v="3.8619999999999997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0"/>
    <x v="55"/>
    <n v="4.9699999999999996E-3"/>
    <n v="4.2619999999999996"/>
    <n v="3.8619999999999997"/>
    <x v="1"/>
    <n v="1.491E-2"/>
    <x v="0"/>
  </r>
  <r>
    <x v="2"/>
    <x v="66"/>
    <n v="1.8599999999999998E-2"/>
    <n v="7.8940000000000001"/>
    <n v="7.4939999999999998"/>
    <x v="0"/>
    <n v="0.13019999999999998"/>
    <x v="1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4"/>
    <x v="58"/>
    <n v="3.0400000000000002E-3"/>
    <n v="0.54"/>
    <n v="0.14000000000000001"/>
    <x v="4"/>
    <n v="0"/>
    <x v="0"/>
  </r>
  <r>
    <x v="4"/>
    <x v="58"/>
    <n v="3.0400000000000002E-3"/>
    <n v="0.505"/>
    <n v="0.10499999999999998"/>
    <x v="4"/>
    <n v="0"/>
    <x v="0"/>
  </r>
  <r>
    <x v="4"/>
    <x v="58"/>
    <n v="3.0400000000000002E-3"/>
    <n v="0.54"/>
    <n v="0.14000000000000001"/>
    <x v="4"/>
    <n v="0"/>
    <x v="0"/>
  </r>
  <r>
    <x v="1"/>
    <x v="5"/>
    <n v="8.5500000000000003E-3"/>
    <n v="1.135"/>
    <n v="0.73499999999999999"/>
    <x v="4"/>
    <n v="0"/>
    <x v="0"/>
  </r>
  <r>
    <x v="4"/>
    <x v="58"/>
    <n v="3.0400000000000002E-3"/>
    <n v="0.54"/>
    <n v="0.14000000000000001"/>
    <x v="4"/>
    <n v="0"/>
    <x v="0"/>
  </r>
  <r>
    <x v="4"/>
    <x v="58"/>
    <n v="3.0400000000000002E-3"/>
    <n v="0.505"/>
    <n v="0.10499999999999998"/>
    <x v="4"/>
    <n v="0"/>
    <x v="0"/>
  </r>
  <r>
    <x v="1"/>
    <x v="5"/>
    <n v="8.5500000000000003E-3"/>
    <n v="1.135"/>
    <n v="0.73499999999999999"/>
    <x v="4"/>
    <n v="0"/>
    <x v="0"/>
  </r>
  <r>
    <x v="4"/>
    <x v="58"/>
    <n v="3.0400000000000002E-3"/>
    <n v="0.54"/>
    <n v="0.14000000000000001"/>
    <x v="4"/>
    <n v="0"/>
    <x v="0"/>
  </r>
  <r>
    <x v="4"/>
    <x v="58"/>
    <n v="3.0400000000000002E-3"/>
    <n v="0.97"/>
    <n v="0.56999999999999995"/>
    <x v="4"/>
    <n v="0"/>
    <x v="0"/>
  </r>
  <r>
    <x v="4"/>
    <x v="58"/>
    <n v="3.0400000000000002E-3"/>
    <n v="0.84145700000000001"/>
    <n v="0.44145699999999999"/>
    <x v="4"/>
    <n v="0"/>
    <x v="0"/>
  </r>
  <r>
    <x v="4"/>
    <x v="58"/>
    <n v="3.0400000000000002E-3"/>
    <n v="0.86655899999999997"/>
    <n v="0.46655899999999995"/>
    <x v="4"/>
    <n v="0"/>
    <x v="0"/>
  </r>
  <r>
    <x v="4"/>
    <x v="58"/>
    <n v="3.0400000000000002E-3"/>
    <n v="0.84145700000000001"/>
    <n v="0.44145699999999999"/>
    <x v="4"/>
    <n v="0"/>
    <x v="0"/>
  </r>
  <r>
    <x v="4"/>
    <x v="58"/>
    <n v="3.0400000000000002E-3"/>
    <n v="0.86655899999999997"/>
    <n v="0.46655899999999995"/>
    <x v="4"/>
    <n v="0"/>
    <x v="0"/>
  </r>
  <r>
    <x v="4"/>
    <x v="58"/>
    <n v="3.0400000000000002E-3"/>
    <n v="0.97"/>
    <n v="0.56999999999999995"/>
    <x v="4"/>
    <n v="0"/>
    <x v="0"/>
  </r>
  <r>
    <x v="4"/>
    <x v="53"/>
    <n v="2.2799999999999999E-3"/>
    <n v="2.2149999999999999"/>
    <n v="1.8149999999999999"/>
    <x v="2"/>
    <n v="2.2799999999999999E-3"/>
    <x v="0"/>
  </r>
  <r>
    <x v="4"/>
    <x v="62"/>
    <n v="1.8799999999999999E-3"/>
    <n v="1.419"/>
    <n v="1.0190000000000001"/>
    <x v="2"/>
    <n v="1.8799999999999999E-3"/>
    <x v="1"/>
  </r>
  <r>
    <x v="0"/>
    <x v="19"/>
    <n v="8.5500000000000003E-3"/>
    <n v="4.2619999999999996"/>
    <n v="3.8619999999999997"/>
    <x v="1"/>
    <n v="2.5649999999999999E-2"/>
    <x v="0"/>
  </r>
  <r>
    <x v="0"/>
    <x v="3"/>
    <n v="3.2000000000000002E-3"/>
    <n v="2.6480000000000001"/>
    <n v="2.2480000000000002"/>
    <x v="6"/>
    <n v="6.4000000000000003E-3"/>
    <x v="0"/>
  </r>
  <r>
    <x v="0"/>
    <x v="3"/>
    <n v="3.2000000000000002E-3"/>
    <n v="2.6480000000000001"/>
    <n v="2.2480000000000002"/>
    <x v="6"/>
    <n v="6.4000000000000003E-3"/>
    <x v="0"/>
  </r>
  <r>
    <x v="0"/>
    <x v="24"/>
    <n v="2.8E-3"/>
    <n v="3.59"/>
    <n v="3.19"/>
    <x v="1"/>
    <n v="8.3999999999999995E-3"/>
    <x v="0"/>
  </r>
  <r>
    <x v="3"/>
    <x v="65"/>
    <n v="5.8700000000000002E-3"/>
    <n v="4.1402380000000001"/>
    <n v="3.7402380000000002"/>
    <x v="1"/>
    <n v="1.7610000000000001E-2"/>
    <x v="0"/>
  </r>
  <r>
    <x v="3"/>
    <x v="65"/>
    <n v="5.8700000000000002E-3"/>
    <n v="4.1402549999999998"/>
    <n v="3.7402549999999999"/>
    <x v="1"/>
    <n v="1.7610000000000001E-2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7.5000010000000001"/>
    <n v="7.1000009999999998"/>
    <x v="0"/>
    <n v="4.1090000000000002E-2"/>
    <x v="0"/>
  </r>
  <r>
    <x v="3"/>
    <x v="65"/>
    <n v="5.8700000000000002E-3"/>
    <n v="4.1461069999999998"/>
    <n v="3.7461069999999999"/>
    <x v="1"/>
    <n v="1.7610000000000001E-2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7.5012990000000004"/>
    <n v="7.101299"/>
    <x v="0"/>
    <n v="4.1090000000000002E-2"/>
    <x v="0"/>
  </r>
  <r>
    <x v="3"/>
    <x v="65"/>
    <n v="5.8700000000000002E-3"/>
    <n v="4.1402549999999998"/>
    <n v="3.7402549999999999"/>
    <x v="1"/>
    <n v="1.7610000000000001E-2"/>
    <x v="0"/>
  </r>
  <r>
    <x v="3"/>
    <x v="65"/>
    <n v="5.8700000000000002E-3"/>
    <n v="7.5024829999999998"/>
    <n v="7.1024829999999994"/>
    <x v="0"/>
    <n v="4.1090000000000002E-2"/>
    <x v="0"/>
  </r>
  <r>
    <x v="0"/>
    <x v="46"/>
    <n v="3.6099999999999999E-3"/>
    <n v="2.6890000000000001"/>
    <n v="2.2890000000000001"/>
    <x v="6"/>
    <n v="7.2199999999999999E-3"/>
    <x v="0"/>
  </r>
  <r>
    <x v="0"/>
    <x v="24"/>
    <n v="2.8E-3"/>
    <n v="2.6890000000000001"/>
    <n v="2.2890000000000001"/>
    <x v="6"/>
    <n v="5.5999999999999999E-3"/>
    <x v="0"/>
  </r>
  <r>
    <x v="0"/>
    <x v="50"/>
    <n v="5.8599999999999998E-3"/>
    <n v="4.9550000000000001"/>
    <n v="4.5549999999999997"/>
    <x v="3"/>
    <n v="2.3439999999999999E-2"/>
    <x v="0"/>
  </r>
  <r>
    <x v="0"/>
    <x v="46"/>
    <n v="3.6099999999999999E-3"/>
    <n v="2.4769999999999999"/>
    <n v="2.077"/>
    <x v="6"/>
    <n v="7.2199999999999999E-3"/>
    <x v="0"/>
  </r>
  <r>
    <x v="4"/>
    <x v="53"/>
    <n v="2.2799999999999999E-3"/>
    <n v="2.9"/>
    <n v="2.5"/>
    <x v="6"/>
    <n v="4.5599999999999998E-3"/>
    <x v="0"/>
  </r>
  <r>
    <x v="4"/>
    <x v="53"/>
    <n v="2.2799999999999999E-3"/>
    <n v="2.9"/>
    <n v="2.5"/>
    <x v="6"/>
    <n v="4.5599999999999998E-3"/>
    <x v="0"/>
  </r>
  <r>
    <x v="0"/>
    <x v="24"/>
    <n v="2.8E-3"/>
    <n v="1.36"/>
    <n v="0.96000000000000008"/>
    <x v="4"/>
    <n v="0"/>
    <x v="0"/>
  </r>
  <r>
    <x v="4"/>
    <x v="53"/>
    <n v="2.2799999999999999E-3"/>
    <n v="1.25"/>
    <n v="0.85"/>
    <x v="4"/>
    <n v="0"/>
    <x v="0"/>
  </r>
  <r>
    <x v="0"/>
    <x v="49"/>
    <n v="3.16E-3"/>
    <n v="3.5289999999999999"/>
    <n v="3.129"/>
    <x v="1"/>
    <n v="9.4800000000000006E-3"/>
    <x v="0"/>
  </r>
  <r>
    <x v="0"/>
    <x v="24"/>
    <n v="2.8E-3"/>
    <n v="4.26"/>
    <n v="3.86"/>
    <x v="1"/>
    <n v="8.3999999999999995E-3"/>
    <x v="0"/>
  </r>
  <r>
    <x v="0"/>
    <x v="24"/>
    <n v="2.8E-3"/>
    <n v="2.65"/>
    <n v="2.25"/>
    <x v="6"/>
    <n v="5.5999999999999999E-3"/>
    <x v="0"/>
  </r>
  <r>
    <x v="0"/>
    <x v="24"/>
    <n v="2.8E-3"/>
    <n v="2.0720000000000001"/>
    <n v="1.6720000000000002"/>
    <x v="2"/>
    <n v="2.8E-3"/>
    <x v="0"/>
  </r>
  <r>
    <x v="0"/>
    <x v="24"/>
    <n v="2.8E-3"/>
    <n v="1.155"/>
    <n v="0.755"/>
    <x v="4"/>
    <n v="0"/>
    <x v="0"/>
  </r>
  <r>
    <x v="0"/>
    <x v="24"/>
    <n v="2.8E-3"/>
    <n v="3.0550000000000002"/>
    <n v="2.6550000000000002"/>
    <x v="6"/>
    <n v="5.5999999999999999E-3"/>
    <x v="0"/>
  </r>
  <r>
    <x v="0"/>
    <x v="24"/>
    <n v="2.8E-3"/>
    <n v="1.2050000000000001"/>
    <n v="0.80500000000000005"/>
    <x v="4"/>
    <n v="0"/>
    <x v="0"/>
  </r>
  <r>
    <x v="0"/>
    <x v="24"/>
    <n v="2.8E-3"/>
    <n v="1.2050000000000001"/>
    <n v="0.80500000000000005"/>
    <x v="4"/>
    <n v="0"/>
    <x v="0"/>
  </r>
  <r>
    <x v="4"/>
    <x v="53"/>
    <n v="2.2799999999999999E-3"/>
    <n v="1.25"/>
    <n v="0.85"/>
    <x v="4"/>
    <n v="0"/>
    <x v="0"/>
  </r>
  <r>
    <x v="4"/>
    <x v="53"/>
    <n v="2.2799999999999999E-3"/>
    <n v="2.9"/>
    <n v="2.5"/>
    <x v="6"/>
    <n v="4.5599999999999998E-3"/>
    <x v="0"/>
  </r>
  <r>
    <x v="4"/>
    <x v="53"/>
    <n v="2.2799999999999999E-3"/>
    <n v="2.9"/>
    <n v="2.5"/>
    <x v="6"/>
    <n v="4.5599999999999998E-3"/>
    <x v="0"/>
  </r>
  <r>
    <x v="0"/>
    <x v="24"/>
    <n v="2.8E-3"/>
    <n v="1.36"/>
    <n v="0.96000000000000008"/>
    <x v="4"/>
    <n v="0"/>
    <x v="0"/>
  </r>
  <r>
    <x v="0"/>
    <x v="49"/>
    <n v="3.16E-3"/>
    <n v="3.5289999999999999"/>
    <n v="3.129"/>
    <x v="1"/>
    <n v="9.4800000000000006E-3"/>
    <x v="0"/>
  </r>
  <r>
    <x v="0"/>
    <x v="49"/>
    <n v="3.16E-3"/>
    <n v="4.6859999999999999"/>
    <n v="4.2859999999999996"/>
    <x v="3"/>
    <n v="1.264E-2"/>
    <x v="0"/>
  </r>
  <r>
    <x v="0"/>
    <x v="24"/>
    <n v="2.8E-3"/>
    <n v="4.6859999999999999"/>
    <n v="4.2859999999999996"/>
    <x v="3"/>
    <n v="1.12E-2"/>
    <x v="0"/>
  </r>
  <r>
    <x v="0"/>
    <x v="24"/>
    <n v="2.8E-3"/>
    <n v="3.5289999999999999"/>
    <n v="3.129"/>
    <x v="1"/>
    <n v="8.3999999999999995E-3"/>
    <x v="0"/>
  </r>
  <r>
    <x v="0"/>
    <x v="24"/>
    <n v="2.8E-3"/>
    <n v="3.25"/>
    <n v="2.85"/>
    <x v="6"/>
    <n v="5.5999999999999999E-3"/>
    <x v="0"/>
  </r>
  <r>
    <x v="0"/>
    <x v="24"/>
    <n v="2.8E-3"/>
    <n v="3.25"/>
    <n v="2.85"/>
    <x v="6"/>
    <n v="5.5999999999999999E-3"/>
    <x v="0"/>
  </r>
  <r>
    <x v="4"/>
    <x v="41"/>
    <n v="3.5100000000000001E-3"/>
    <n v="3.5289999999999999"/>
    <n v="3.129"/>
    <x v="1"/>
    <n v="1.0530000000000001E-2"/>
    <x v="0"/>
  </r>
  <r>
    <x v="0"/>
    <x v="24"/>
    <n v="2.8E-3"/>
    <n v="4.5650000000000004"/>
    <n v="4.165"/>
    <x v="3"/>
    <n v="1.12E-2"/>
    <x v="0"/>
  </r>
  <r>
    <x v="0"/>
    <x v="24"/>
    <n v="2.8E-3"/>
    <n v="3.5289999999999999"/>
    <n v="3.129"/>
    <x v="1"/>
    <n v="8.3999999999999995E-3"/>
    <x v="0"/>
  </r>
  <r>
    <x v="0"/>
    <x v="24"/>
    <n v="2.8E-3"/>
    <n v="7.08"/>
    <n v="6.68"/>
    <x v="5"/>
    <n v="1.6799999999999999E-2"/>
    <x v="0"/>
  </r>
  <r>
    <x v="0"/>
    <x v="24"/>
    <n v="2.8E-3"/>
    <n v="7.08"/>
    <n v="6.68"/>
    <x v="5"/>
    <n v="1.6799999999999999E-2"/>
    <x v="0"/>
  </r>
  <r>
    <x v="0"/>
    <x v="24"/>
    <n v="2.8E-3"/>
    <n v="3.5289999999999999"/>
    <n v="3.129"/>
    <x v="1"/>
    <n v="8.3999999999999995E-3"/>
    <x v="0"/>
  </r>
  <r>
    <x v="0"/>
    <x v="24"/>
    <n v="2.8E-3"/>
    <n v="4.6859999999999999"/>
    <n v="4.2859999999999996"/>
    <x v="3"/>
    <n v="1.12E-2"/>
    <x v="0"/>
  </r>
  <r>
    <x v="4"/>
    <x v="41"/>
    <n v="3.5100000000000001E-3"/>
    <n v="3.5289999999999999"/>
    <n v="3.129"/>
    <x v="1"/>
    <n v="1.0530000000000001E-2"/>
    <x v="0"/>
  </r>
  <r>
    <x v="0"/>
    <x v="24"/>
    <n v="2.8E-3"/>
    <n v="4.5650000000000004"/>
    <n v="4.165"/>
    <x v="3"/>
    <n v="1.12E-2"/>
    <x v="0"/>
  </r>
  <r>
    <x v="0"/>
    <x v="24"/>
    <n v="2.8E-3"/>
    <n v="1.155"/>
    <n v="0.755"/>
    <x v="4"/>
    <n v="0"/>
    <x v="0"/>
  </r>
  <r>
    <x v="0"/>
    <x v="24"/>
    <n v="2.8E-3"/>
    <n v="2.0720000000000001"/>
    <n v="1.6720000000000002"/>
    <x v="2"/>
    <n v="2.8E-3"/>
    <x v="0"/>
  </r>
  <r>
    <x v="0"/>
    <x v="24"/>
    <n v="2.8E-3"/>
    <n v="3.0550000000000002"/>
    <n v="2.6550000000000002"/>
    <x v="6"/>
    <n v="5.5999999999999999E-3"/>
    <x v="0"/>
  </r>
  <r>
    <x v="0"/>
    <x v="24"/>
    <n v="2.8E-3"/>
    <n v="1.2050000000000001"/>
    <n v="0.80500000000000005"/>
    <x v="4"/>
    <n v="0"/>
    <x v="0"/>
  </r>
  <r>
    <x v="0"/>
    <x v="24"/>
    <n v="2.8E-3"/>
    <n v="1.2050000000000001"/>
    <n v="0.80500000000000005"/>
    <x v="4"/>
    <n v="0"/>
    <x v="0"/>
  </r>
  <r>
    <x v="0"/>
    <x v="49"/>
    <n v="3.16E-3"/>
    <n v="4.6859999999999999"/>
    <n v="4.2859999999999996"/>
    <x v="3"/>
    <n v="1.264E-2"/>
    <x v="0"/>
  </r>
  <r>
    <x v="0"/>
    <x v="24"/>
    <n v="2.8E-3"/>
    <n v="3.5289999999999999"/>
    <n v="3.129"/>
    <x v="1"/>
    <n v="8.3999999999999995E-3"/>
    <x v="0"/>
  </r>
  <r>
    <x v="0"/>
    <x v="24"/>
    <n v="2.8E-3"/>
    <n v="2.65"/>
    <n v="2.25"/>
    <x v="6"/>
    <n v="5.5999999999999999E-3"/>
    <x v="0"/>
  </r>
  <r>
    <x v="0"/>
    <x v="24"/>
    <n v="2.8E-3"/>
    <n v="4.26"/>
    <n v="3.86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44"/>
    <n v="1.0500000000000001E-2"/>
    <n v="8.0939999999999994"/>
    <n v="7.6939999999999991"/>
    <x v="0"/>
    <n v="7.350000000000001E-2"/>
    <x v="0"/>
  </r>
  <r>
    <x v="0"/>
    <x v="44"/>
    <n v="1.0500000000000001E-2"/>
    <n v="8.0939999999999994"/>
    <n v="7.6939999999999991"/>
    <x v="0"/>
    <n v="7.350000000000001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59"/>
    <n v="3.19"/>
    <x v="1"/>
    <n v="8.3999999999999995E-3"/>
    <x v="0"/>
  </r>
  <r>
    <x v="0"/>
    <x v="24"/>
    <n v="2.8E-3"/>
    <n v="1.407"/>
    <n v="1.0070000000000001"/>
    <x v="2"/>
    <n v="2.8E-3"/>
    <x v="0"/>
  </r>
  <r>
    <x v="0"/>
    <x v="24"/>
    <n v="2.8E-3"/>
    <n v="2.1219999999999999"/>
    <n v="1.722"/>
    <x v="2"/>
    <n v="2.8E-3"/>
    <x v="0"/>
  </r>
  <r>
    <x v="0"/>
    <x v="24"/>
    <n v="2.8E-3"/>
    <n v="1.407"/>
    <n v="1.0070000000000001"/>
    <x v="2"/>
    <n v="2.8E-3"/>
    <x v="0"/>
  </r>
  <r>
    <x v="0"/>
    <x v="24"/>
    <n v="2.8E-3"/>
    <n v="2.1219999999999999"/>
    <n v="1.722"/>
    <x v="2"/>
    <n v="2.8E-3"/>
    <x v="0"/>
  </r>
  <r>
    <x v="0"/>
    <x v="24"/>
    <n v="2.8E-3"/>
    <n v="3.42"/>
    <n v="3.02"/>
    <x v="1"/>
    <n v="8.3999999999999995E-3"/>
    <x v="0"/>
  </r>
  <r>
    <x v="4"/>
    <x v="53"/>
    <n v="2.2799999999999999E-3"/>
    <n v="2.375"/>
    <n v="1.9750000000000001"/>
    <x v="2"/>
    <n v="2.2799999999999999E-3"/>
    <x v="0"/>
  </r>
  <r>
    <x v="0"/>
    <x v="24"/>
    <n v="2.8E-3"/>
    <n v="1.885"/>
    <n v="1.4849999999999999"/>
    <x v="2"/>
    <n v="2.8E-3"/>
    <x v="0"/>
  </r>
  <r>
    <x v="0"/>
    <x v="24"/>
    <n v="2.8E-3"/>
    <n v="1.0049999999999999"/>
    <n v="0.60499999999999987"/>
    <x v="4"/>
    <n v="0"/>
    <x v="0"/>
  </r>
  <r>
    <x v="0"/>
    <x v="24"/>
    <n v="2.8E-3"/>
    <n v="1.23"/>
    <n v="0.83"/>
    <x v="4"/>
    <n v="0"/>
    <x v="0"/>
  </r>
  <r>
    <x v="0"/>
    <x v="24"/>
    <n v="2.8E-3"/>
    <n v="1.23"/>
    <n v="0.83"/>
    <x v="4"/>
    <n v="0"/>
    <x v="0"/>
  </r>
  <r>
    <x v="4"/>
    <x v="53"/>
    <n v="2.2799999999999999E-3"/>
    <n v="2.375"/>
    <n v="1.9750000000000001"/>
    <x v="2"/>
    <n v="2.2799999999999999E-3"/>
    <x v="0"/>
  </r>
  <r>
    <x v="0"/>
    <x v="24"/>
    <n v="2.8E-3"/>
    <n v="1.0049999999999999"/>
    <n v="0.60499999999999987"/>
    <x v="4"/>
    <n v="0"/>
    <x v="0"/>
  </r>
  <r>
    <x v="0"/>
    <x v="24"/>
    <n v="2.8E-3"/>
    <n v="1.885"/>
    <n v="1.4849999999999999"/>
    <x v="2"/>
    <n v="2.8E-3"/>
    <x v="0"/>
  </r>
  <r>
    <x v="0"/>
    <x v="24"/>
    <n v="2.8E-3"/>
    <n v="3.5289999999999999"/>
    <n v="3.129"/>
    <x v="1"/>
    <n v="8.3999999999999995E-3"/>
    <x v="0"/>
  </r>
  <r>
    <x v="0"/>
    <x v="24"/>
    <n v="2.8E-3"/>
    <n v="3.5289999999999999"/>
    <n v="3.129"/>
    <x v="1"/>
    <n v="8.3999999999999995E-3"/>
    <x v="0"/>
  </r>
  <r>
    <x v="0"/>
    <x v="24"/>
    <n v="2.8E-3"/>
    <n v="3.5289999999999999"/>
    <n v="3.129"/>
    <x v="1"/>
    <n v="8.3999999999999995E-3"/>
    <x v="0"/>
  </r>
  <r>
    <x v="0"/>
    <x v="24"/>
    <n v="2.8E-3"/>
    <n v="3.5289999999999999"/>
    <n v="3.129"/>
    <x v="1"/>
    <n v="8.3999999999999995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49"/>
    <n v="3.16E-3"/>
    <n v="4.6859999999999999"/>
    <n v="4.2859999999999996"/>
    <x v="3"/>
    <n v="1.264E-2"/>
    <x v="0"/>
  </r>
  <r>
    <x v="0"/>
    <x v="49"/>
    <n v="3.16E-3"/>
    <n v="4.6859999999999999"/>
    <n v="4.2859999999999996"/>
    <x v="3"/>
    <n v="1.264E-2"/>
    <x v="0"/>
  </r>
  <r>
    <x v="0"/>
    <x v="37"/>
    <n v="3.5899999999999999E-3"/>
    <n v="4.7450000000000001"/>
    <n v="4.3449999999999998"/>
    <x v="3"/>
    <n v="1.436E-2"/>
    <x v="0"/>
  </r>
  <r>
    <x v="0"/>
    <x v="37"/>
    <n v="3.5899999999999999E-3"/>
    <n v="4.7450000000000001"/>
    <n v="4.3449999999999998"/>
    <x v="3"/>
    <n v="1.436E-2"/>
    <x v="0"/>
  </r>
  <r>
    <x v="0"/>
    <x v="49"/>
    <n v="3.16E-3"/>
    <n v="4.6859999999999999"/>
    <n v="4.2859999999999996"/>
    <x v="3"/>
    <n v="1.264E-2"/>
    <x v="0"/>
  </r>
  <r>
    <x v="0"/>
    <x v="49"/>
    <n v="3.16E-3"/>
    <n v="4.6859999999999999"/>
    <n v="4.2859999999999996"/>
    <x v="3"/>
    <n v="1.264E-2"/>
    <x v="0"/>
  </r>
  <r>
    <x v="0"/>
    <x v="37"/>
    <n v="3.5899999999999999E-3"/>
    <n v="4.7450000000000001"/>
    <n v="4.3449999999999998"/>
    <x v="3"/>
    <n v="1.436E-2"/>
    <x v="0"/>
  </r>
  <r>
    <x v="0"/>
    <x v="37"/>
    <n v="3.5899999999999999E-3"/>
    <n v="4.7450000000000001"/>
    <n v="4.3449999999999998"/>
    <x v="3"/>
    <n v="1.436E-2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46"/>
    <n v="3.6099999999999999E-3"/>
    <n v="2.5449999999999999"/>
    <n v="2.145"/>
    <x v="6"/>
    <n v="7.2199999999999999E-3"/>
    <x v="0"/>
  </r>
  <r>
    <x v="0"/>
    <x v="24"/>
    <n v="2.8E-3"/>
    <n v="1.3109999999999999"/>
    <n v="0.91099999999999992"/>
    <x v="4"/>
    <n v="0"/>
    <x v="0"/>
  </r>
  <r>
    <x v="0"/>
    <x v="46"/>
    <n v="3.6099999999999999E-3"/>
    <n v="2.6890000000000001"/>
    <n v="2.2890000000000001"/>
    <x v="6"/>
    <n v="7.2199999999999999E-3"/>
    <x v="0"/>
  </r>
  <r>
    <x v="0"/>
    <x v="24"/>
    <n v="2.8E-3"/>
    <n v="2.6890000000000001"/>
    <n v="2.2890000000000001"/>
    <x v="6"/>
    <n v="5.5999999999999999E-3"/>
    <x v="0"/>
  </r>
  <r>
    <x v="0"/>
    <x v="50"/>
    <n v="5.8599999999999998E-3"/>
    <n v="4.9550000000000001"/>
    <n v="4.5549999999999997"/>
    <x v="3"/>
    <n v="2.3439999999999999E-2"/>
    <x v="0"/>
  </r>
  <r>
    <x v="0"/>
    <x v="46"/>
    <n v="3.6099999999999999E-3"/>
    <n v="2.5449999999999999"/>
    <n v="2.145"/>
    <x v="6"/>
    <n v="7.2199999999999999E-3"/>
    <x v="0"/>
  </r>
  <r>
    <x v="0"/>
    <x v="24"/>
    <n v="2.8E-3"/>
    <n v="2.4780000000000002"/>
    <n v="2.0780000000000003"/>
    <x v="6"/>
    <n v="5.5999999999999999E-3"/>
    <x v="0"/>
  </r>
  <r>
    <x v="0"/>
    <x v="24"/>
    <n v="2.8E-3"/>
    <n v="2.4769999999999999"/>
    <n v="2.077"/>
    <x v="6"/>
    <n v="5.5999999999999999E-3"/>
    <x v="0"/>
  </r>
  <r>
    <x v="0"/>
    <x v="48"/>
    <n v="7.62E-3"/>
    <n v="5.3780000000000001"/>
    <n v="4.9779999999999998"/>
    <x v="3"/>
    <n v="3.048E-2"/>
    <x v="0"/>
  </r>
  <r>
    <x v="0"/>
    <x v="48"/>
    <n v="7.62E-3"/>
    <n v="5.3780000000000001"/>
    <n v="4.9779999999999998"/>
    <x v="3"/>
    <n v="3.048E-2"/>
    <x v="0"/>
  </r>
  <r>
    <x v="0"/>
    <x v="50"/>
    <n v="5.8599999999999998E-3"/>
    <n v="5.3780000000000001"/>
    <n v="4.9779999999999998"/>
    <x v="3"/>
    <n v="2.3439999999999999E-2"/>
    <x v="0"/>
  </r>
  <r>
    <x v="0"/>
    <x v="50"/>
    <n v="5.8599999999999998E-3"/>
    <n v="5.3780000000000001"/>
    <n v="4.9779999999999998"/>
    <x v="3"/>
    <n v="2.3439999999999999E-2"/>
    <x v="0"/>
  </r>
  <r>
    <x v="0"/>
    <x v="48"/>
    <n v="7.62E-3"/>
    <n v="5.3780000000000001"/>
    <n v="4.9779999999999998"/>
    <x v="3"/>
    <n v="3.048E-2"/>
    <x v="0"/>
  </r>
  <r>
    <x v="0"/>
    <x v="44"/>
    <n v="1.0500000000000001E-2"/>
    <n v="5.3780000000000001"/>
    <n v="4.9779999999999998"/>
    <x v="3"/>
    <n v="4.2000000000000003E-2"/>
    <x v="0"/>
  </r>
  <r>
    <x v="0"/>
    <x v="67"/>
    <n v="1.29E-2"/>
    <n v="7.5"/>
    <n v="7.1"/>
    <x v="0"/>
    <n v="9.0300000000000005E-2"/>
    <x v="0"/>
  </r>
  <r>
    <x v="0"/>
    <x v="44"/>
    <n v="1.0500000000000001E-2"/>
    <n v="7.5"/>
    <n v="7.1"/>
    <x v="0"/>
    <n v="7.350000000000001E-2"/>
    <x v="0"/>
  </r>
  <r>
    <x v="0"/>
    <x v="67"/>
    <n v="1.29E-2"/>
    <n v="7.5"/>
    <n v="7.1"/>
    <x v="0"/>
    <n v="9.0300000000000005E-2"/>
    <x v="0"/>
  </r>
  <r>
    <x v="0"/>
    <x v="46"/>
    <n v="3.6099999999999999E-3"/>
    <n v="2.5449999999999999"/>
    <n v="2.145"/>
    <x v="6"/>
    <n v="7.21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49"/>
    <n v="3.16E-3"/>
    <n v="4.6859999999999999"/>
    <n v="4.2859999999999996"/>
    <x v="3"/>
    <n v="1.264E-2"/>
    <x v="0"/>
  </r>
  <r>
    <x v="0"/>
    <x v="49"/>
    <n v="3.16E-3"/>
    <n v="4.6859999999999999"/>
    <n v="4.2859999999999996"/>
    <x v="3"/>
    <n v="1.264E-2"/>
    <x v="0"/>
  </r>
  <r>
    <x v="0"/>
    <x v="37"/>
    <n v="3.5899999999999999E-3"/>
    <n v="4.7450000000000001"/>
    <n v="4.3449999999999998"/>
    <x v="3"/>
    <n v="1.436E-2"/>
    <x v="0"/>
  </r>
  <r>
    <x v="0"/>
    <x v="37"/>
    <n v="3.5899999999999999E-3"/>
    <n v="4.7450000000000001"/>
    <n v="4.3449999999999998"/>
    <x v="3"/>
    <n v="1.436E-2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38"/>
    <n v="1.17E-2"/>
    <n v="7.5"/>
    <n v="7.1"/>
    <x v="0"/>
    <n v="8.1900000000000001E-2"/>
    <x v="0"/>
  </r>
  <r>
    <x v="0"/>
    <x v="31"/>
    <n v="8.5500000000000003E-3"/>
    <n v="7.5"/>
    <n v="7.1"/>
    <x v="0"/>
    <n v="5.985E-2"/>
    <x v="1"/>
  </r>
  <r>
    <x v="0"/>
    <x v="38"/>
    <n v="1.17E-2"/>
    <n v="7.5"/>
    <n v="7.1"/>
    <x v="0"/>
    <n v="8.1900000000000001E-2"/>
    <x v="0"/>
  </r>
  <r>
    <x v="0"/>
    <x v="24"/>
    <n v="2.8E-3"/>
    <n v="2.5449999999999999"/>
    <n v="2.145"/>
    <x v="6"/>
    <n v="5.5999999999999999E-3"/>
    <x v="0"/>
  </r>
  <r>
    <x v="0"/>
    <x v="38"/>
    <n v="1.17E-2"/>
    <n v="7.5"/>
    <n v="7.1"/>
    <x v="0"/>
    <n v="8.1900000000000001E-2"/>
    <x v="0"/>
  </r>
  <r>
    <x v="0"/>
    <x v="34"/>
    <n v="8.5599999999999999E-3"/>
    <n v="7.5"/>
    <n v="7.1"/>
    <x v="0"/>
    <n v="5.9920000000000001E-2"/>
    <x v="0"/>
  </r>
  <r>
    <x v="0"/>
    <x v="38"/>
    <n v="1.17E-2"/>
    <n v="7.5"/>
    <n v="7.1"/>
    <x v="0"/>
    <n v="8.1900000000000001E-2"/>
    <x v="0"/>
  </r>
  <r>
    <x v="0"/>
    <x v="50"/>
    <n v="5.8599999999999998E-3"/>
    <n v="5.3780000000000001"/>
    <n v="4.9779999999999998"/>
    <x v="3"/>
    <n v="2.3439999999999999E-2"/>
    <x v="0"/>
  </r>
  <r>
    <x v="0"/>
    <x v="48"/>
    <n v="7.62E-3"/>
    <n v="5.3780000000000001"/>
    <n v="4.9779999999999998"/>
    <x v="3"/>
    <n v="3.048E-2"/>
    <x v="0"/>
  </r>
  <r>
    <x v="0"/>
    <x v="24"/>
    <n v="2.8E-3"/>
    <n v="3.234"/>
    <n v="2.8340000000000001"/>
    <x v="6"/>
    <n v="5.5999999999999999E-3"/>
    <x v="0"/>
  </r>
  <r>
    <x v="0"/>
    <x v="23"/>
    <n v="6.6600000000000001E-3"/>
    <n v="5.3780000000000001"/>
    <n v="4.9779999999999998"/>
    <x v="3"/>
    <n v="2.664E-2"/>
    <x v="0"/>
  </r>
  <r>
    <x v="0"/>
    <x v="67"/>
    <n v="1.29E-2"/>
    <n v="7.5"/>
    <n v="7.1"/>
    <x v="0"/>
    <n v="9.0300000000000005E-2"/>
    <x v="0"/>
  </r>
  <r>
    <x v="0"/>
    <x v="46"/>
    <n v="3.6099999999999999E-3"/>
    <n v="2.4769999999999999"/>
    <n v="2.077"/>
    <x v="6"/>
    <n v="7.2199999999999999E-3"/>
    <x v="0"/>
  </r>
  <r>
    <x v="0"/>
    <x v="50"/>
    <n v="5.8599999999999998E-3"/>
    <n v="4.9550000000000001"/>
    <n v="4.5549999999999997"/>
    <x v="3"/>
    <n v="2.3439999999999999E-2"/>
    <x v="0"/>
  </r>
  <r>
    <x v="0"/>
    <x v="23"/>
    <n v="6.6600000000000001E-3"/>
    <n v="5.3780000000000001"/>
    <n v="4.9779999999999998"/>
    <x v="3"/>
    <n v="2.664E-2"/>
    <x v="0"/>
  </r>
  <r>
    <x v="0"/>
    <x v="50"/>
    <n v="5.8599999999999998E-3"/>
    <n v="5.3780000000000001"/>
    <n v="4.9779999999999998"/>
    <x v="3"/>
    <n v="2.3439999999999999E-2"/>
    <x v="0"/>
  </r>
  <r>
    <x v="0"/>
    <x v="67"/>
    <n v="1.29E-2"/>
    <n v="7.5"/>
    <n v="7.1"/>
    <x v="0"/>
    <n v="9.0300000000000005E-2"/>
    <x v="0"/>
  </r>
  <r>
    <x v="0"/>
    <x v="46"/>
    <n v="3.6099999999999999E-3"/>
    <n v="2.5449999999999999"/>
    <n v="2.145"/>
    <x v="6"/>
    <n v="7.2199999999999999E-3"/>
    <x v="0"/>
  </r>
  <r>
    <x v="0"/>
    <x v="24"/>
    <n v="2.8E-3"/>
    <n v="2.5449999999999999"/>
    <n v="2.145"/>
    <x v="6"/>
    <n v="5.5999999999999999E-3"/>
    <x v="0"/>
  </r>
  <r>
    <x v="0"/>
    <x v="46"/>
    <n v="3.6099999999999999E-3"/>
    <n v="2.5449999999999999"/>
    <n v="2.145"/>
    <x v="6"/>
    <n v="7.2199999999999999E-3"/>
    <x v="0"/>
  </r>
  <r>
    <x v="0"/>
    <x v="46"/>
    <n v="3.6099999999999999E-3"/>
    <n v="2.5449999999999999"/>
    <n v="2.145"/>
    <x v="6"/>
    <n v="7.2199999999999999E-3"/>
    <x v="0"/>
  </r>
  <r>
    <x v="0"/>
    <x v="55"/>
    <n v="4.9699999999999996E-3"/>
    <n v="5.3780000000000001"/>
    <n v="4.9779999999999998"/>
    <x v="3"/>
    <n v="1.9879999999999998E-2"/>
    <x v="0"/>
  </r>
  <r>
    <x v="0"/>
    <x v="55"/>
    <n v="4.9699999999999996E-3"/>
    <n v="5.3780000000000001"/>
    <n v="4.9779999999999998"/>
    <x v="3"/>
    <n v="1.9879999999999998E-2"/>
    <x v="0"/>
  </r>
  <r>
    <x v="0"/>
    <x v="49"/>
    <n v="3.16E-3"/>
    <n v="4.6859999999999999"/>
    <n v="4.2859999999999996"/>
    <x v="3"/>
    <n v="1.264E-2"/>
    <x v="0"/>
  </r>
  <r>
    <x v="0"/>
    <x v="49"/>
    <n v="3.16E-3"/>
    <n v="4.6859999999999999"/>
    <n v="4.2859999999999996"/>
    <x v="3"/>
    <n v="1.264E-2"/>
    <x v="0"/>
  </r>
  <r>
    <x v="0"/>
    <x v="44"/>
    <n v="1.0500000000000001E-2"/>
    <n v="7.5"/>
    <n v="7.1"/>
    <x v="0"/>
    <n v="7.350000000000001E-2"/>
    <x v="0"/>
  </r>
  <r>
    <x v="0"/>
    <x v="37"/>
    <n v="3.5899999999999999E-3"/>
    <n v="4.7450000000000001"/>
    <n v="4.3449999999999998"/>
    <x v="3"/>
    <n v="1.436E-2"/>
    <x v="0"/>
  </r>
  <r>
    <x v="0"/>
    <x v="37"/>
    <n v="3.5899999999999999E-3"/>
    <n v="4.7450000000000001"/>
    <n v="4.3449999999999998"/>
    <x v="3"/>
    <n v="1.436E-2"/>
    <x v="0"/>
  </r>
  <r>
    <x v="0"/>
    <x v="33"/>
    <n v="1.29E-2"/>
    <n v="7.2839999999999998"/>
    <n v="6.8839999999999995"/>
    <x v="5"/>
    <n v="7.7399999999999997E-2"/>
    <x v="0"/>
  </r>
  <r>
    <x v="0"/>
    <x v="33"/>
    <n v="1.29E-2"/>
    <n v="7.2839999999999998"/>
    <n v="6.8839999999999995"/>
    <x v="5"/>
    <n v="7.7399999999999997E-2"/>
    <x v="0"/>
  </r>
  <r>
    <x v="0"/>
    <x v="33"/>
    <n v="1.29E-2"/>
    <n v="4.46"/>
    <n v="4.0599999999999996"/>
    <x v="3"/>
    <n v="5.16E-2"/>
    <x v="0"/>
  </r>
  <r>
    <x v="0"/>
    <x v="33"/>
    <n v="1.29E-2"/>
    <n v="4.46"/>
    <n v="4.0599999999999996"/>
    <x v="3"/>
    <n v="5.16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23"/>
    <n v="6.6600000000000001E-3"/>
    <n v="3.74"/>
    <n v="3.3400000000000003"/>
    <x v="1"/>
    <n v="1.9980000000000001E-2"/>
    <x v="0"/>
  </r>
  <r>
    <x v="0"/>
    <x v="23"/>
    <n v="6.6600000000000001E-3"/>
    <n v="3.74"/>
    <n v="3.3400000000000003"/>
    <x v="1"/>
    <n v="1.9980000000000001E-2"/>
    <x v="0"/>
  </r>
  <r>
    <x v="1"/>
    <x v="5"/>
    <n v="8.5500000000000003E-3"/>
    <n v="10.309528"/>
    <n v="9.9095279999999999"/>
    <x v="9"/>
    <n v="7.6950000000000005E-2"/>
    <x v="0"/>
  </r>
  <r>
    <x v="1"/>
    <x v="5"/>
    <n v="8.5500000000000003E-3"/>
    <n v="5.8719999999999999"/>
    <n v="5.4719999999999995"/>
    <x v="7"/>
    <n v="4.2750000000000003E-2"/>
    <x v="0"/>
  </r>
  <r>
    <x v="1"/>
    <x v="5"/>
    <n v="8.5500000000000003E-3"/>
    <n v="5.3780000000000001"/>
    <n v="4.9779999999999998"/>
    <x v="3"/>
    <n v="3.4200000000000001E-2"/>
    <x v="0"/>
  </r>
  <r>
    <x v="1"/>
    <x v="5"/>
    <n v="8.5500000000000003E-3"/>
    <n v="4.7450000000000001"/>
    <n v="4.3449999999999998"/>
    <x v="3"/>
    <n v="3.4200000000000001E-2"/>
    <x v="0"/>
  </r>
  <r>
    <x v="1"/>
    <x v="5"/>
    <n v="8.5500000000000003E-3"/>
    <n v="4.7450000000000001"/>
    <n v="4.3449999999999998"/>
    <x v="3"/>
    <n v="3.4200000000000001E-2"/>
    <x v="0"/>
  </r>
  <r>
    <x v="1"/>
    <x v="5"/>
    <n v="8.5500000000000003E-3"/>
    <n v="5.3780000000000001"/>
    <n v="4.9779999999999998"/>
    <x v="3"/>
    <n v="3.4200000000000001E-2"/>
    <x v="0"/>
  </r>
  <r>
    <x v="1"/>
    <x v="5"/>
    <n v="8.5500000000000003E-3"/>
    <n v="5.8719999999999999"/>
    <n v="5.4719999999999995"/>
    <x v="7"/>
    <n v="4.2750000000000003E-2"/>
    <x v="0"/>
  </r>
  <r>
    <x v="1"/>
    <x v="5"/>
    <n v="8.5500000000000003E-3"/>
    <n v="7.5"/>
    <n v="7.1"/>
    <x v="0"/>
    <n v="5.985E-2"/>
    <x v="0"/>
  </r>
  <r>
    <x v="1"/>
    <x v="5"/>
    <n v="8.5500000000000003E-3"/>
    <n v="3.75"/>
    <n v="3.35"/>
    <x v="1"/>
    <n v="2.5649999999999999E-2"/>
    <x v="0"/>
  </r>
  <r>
    <x v="1"/>
    <x v="5"/>
    <n v="8.5500000000000003E-3"/>
    <n v="4.7450000000000001"/>
    <n v="4.3449999999999998"/>
    <x v="3"/>
    <n v="3.4200000000000001E-2"/>
    <x v="0"/>
  </r>
  <r>
    <x v="1"/>
    <x v="5"/>
    <n v="8.5500000000000003E-3"/>
    <n v="4.7450000000000001"/>
    <n v="4.3449999999999998"/>
    <x v="3"/>
    <n v="3.4200000000000001E-2"/>
    <x v="0"/>
  </r>
  <r>
    <x v="1"/>
    <x v="5"/>
    <n v="8.5500000000000003E-3"/>
    <n v="3.75"/>
    <n v="3.35"/>
    <x v="1"/>
    <n v="2.5649999999999999E-2"/>
    <x v="0"/>
  </r>
  <r>
    <x v="1"/>
    <x v="5"/>
    <n v="8.5500000000000003E-3"/>
    <n v="7.5"/>
    <n v="7.1"/>
    <x v="0"/>
    <n v="5.985E-2"/>
    <x v="0"/>
  </r>
  <r>
    <x v="0"/>
    <x v="68"/>
    <n v="3.82E-3"/>
    <n v="2.4500000000000002"/>
    <n v="2.0500000000000003"/>
    <x v="6"/>
    <n v="7.6400000000000001E-3"/>
    <x v="0"/>
  </r>
  <r>
    <x v="0"/>
    <x v="2"/>
    <n v="3.9699999999999996E-3"/>
    <n v="3.75"/>
    <n v="3.35"/>
    <x v="1"/>
    <n v="1.1909999999999999E-2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3"/>
    <n v="3.2000000000000002E-3"/>
    <n v="1.34"/>
    <n v="0.94000000000000006"/>
    <x v="4"/>
    <n v="0"/>
    <x v="0"/>
  </r>
  <r>
    <x v="3"/>
    <x v="69"/>
    <n v="2.52E-2"/>
    <n v="7.5"/>
    <n v="7.1"/>
    <x v="0"/>
    <n v="0.1764"/>
    <x v="0"/>
  </r>
  <r>
    <x v="3"/>
    <x v="69"/>
    <n v="2.52E-2"/>
    <n v="7.5"/>
    <n v="7.1"/>
    <x v="0"/>
    <n v="0.1764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2"/>
    <x v="70"/>
    <n v="4.2500000000000003E-2"/>
    <n v="7.5"/>
    <n v="7.1"/>
    <x v="0"/>
    <n v="0.29750000000000004"/>
    <x v="1"/>
  </r>
  <r>
    <x v="0"/>
    <x v="2"/>
    <n v="3.9699999999999996E-3"/>
    <n v="4.92"/>
    <n v="4.5199999999999996"/>
    <x v="3"/>
    <n v="1.5879999999999998E-2"/>
    <x v="0"/>
  </r>
  <r>
    <x v="0"/>
    <x v="71"/>
    <n v="8.5500000000000003E-3"/>
    <n v="7.5"/>
    <n v="7.1"/>
    <x v="0"/>
    <n v="5.985E-2"/>
    <x v="0"/>
  </r>
  <r>
    <x v="0"/>
    <x v="2"/>
    <n v="3.9699999999999996E-3"/>
    <n v="4.92"/>
    <n v="4.5199999999999996"/>
    <x v="3"/>
    <n v="1.5879999999999998E-2"/>
    <x v="0"/>
  </r>
  <r>
    <x v="0"/>
    <x v="2"/>
    <n v="3.9699999999999996E-3"/>
    <n v="2.2999999999999998"/>
    <n v="1.9"/>
    <x v="2"/>
    <n v="3.9699999999999996E-3"/>
    <x v="0"/>
  </r>
  <r>
    <x v="0"/>
    <x v="2"/>
    <n v="3.9699999999999996E-3"/>
    <n v="2.2999999999999998"/>
    <n v="1.9"/>
    <x v="2"/>
    <n v="3.9699999999999996E-3"/>
    <x v="0"/>
  </r>
  <r>
    <x v="0"/>
    <x v="71"/>
    <n v="8.5500000000000003E-3"/>
    <n v="7.5"/>
    <n v="7.1"/>
    <x v="0"/>
    <n v="5.985E-2"/>
    <x v="0"/>
  </r>
  <r>
    <x v="0"/>
    <x v="2"/>
    <n v="3.9699999999999996E-3"/>
    <n v="2.2149999999999999"/>
    <n v="1.8149999999999999"/>
    <x v="2"/>
    <n v="3.9699999999999996E-3"/>
    <x v="0"/>
  </r>
  <r>
    <x v="0"/>
    <x v="3"/>
    <n v="3.2000000000000002E-3"/>
    <n v="4.92"/>
    <n v="4.5199999999999996"/>
    <x v="3"/>
    <n v="1.2800000000000001E-2"/>
    <x v="0"/>
  </r>
  <r>
    <x v="0"/>
    <x v="2"/>
    <n v="3.9699999999999996E-3"/>
    <n v="1"/>
    <n v="0.6"/>
    <x v="4"/>
    <n v="0"/>
    <x v="0"/>
  </r>
  <r>
    <x v="0"/>
    <x v="19"/>
    <n v="8.5500000000000003E-3"/>
    <n v="7.5"/>
    <n v="7.1"/>
    <x v="0"/>
    <n v="5.985E-2"/>
    <x v="0"/>
  </r>
  <r>
    <x v="0"/>
    <x v="19"/>
    <n v="8.5500000000000003E-3"/>
    <n v="7.5"/>
    <n v="7.1"/>
    <x v="0"/>
    <n v="5.985E-2"/>
    <x v="0"/>
  </r>
  <r>
    <x v="0"/>
    <x v="19"/>
    <n v="8.5500000000000003E-3"/>
    <n v="7.5"/>
    <n v="7.1"/>
    <x v="0"/>
    <n v="5.98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19"/>
    <n v="8.5500000000000003E-3"/>
    <n v="7.5"/>
    <n v="7.1"/>
    <x v="0"/>
    <n v="5.98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2"/>
    <n v="3.9699999999999996E-3"/>
    <n v="5.2750000000000004"/>
    <n v="4.875"/>
    <x v="3"/>
    <n v="1.5879999999999998E-2"/>
    <x v="0"/>
  </r>
  <r>
    <x v="0"/>
    <x v="2"/>
    <n v="3.9699999999999996E-3"/>
    <n v="2.8650000000000002"/>
    <n v="2.4650000000000003"/>
    <x v="6"/>
    <n v="7.9399999999999991E-3"/>
    <x v="0"/>
  </r>
  <r>
    <x v="0"/>
    <x v="0"/>
    <n v="9.4500000000000001E-3"/>
    <n v="7.5"/>
    <n v="7.1"/>
    <x v="0"/>
    <n v="6.615E-2"/>
    <x v="0"/>
  </r>
  <r>
    <x v="0"/>
    <x v="2"/>
    <n v="3.9699999999999996E-3"/>
    <n v="3.75"/>
    <n v="3.35"/>
    <x v="1"/>
    <n v="1.1909999999999999E-2"/>
    <x v="0"/>
  </r>
  <r>
    <x v="0"/>
    <x v="0"/>
    <n v="9.4500000000000001E-3"/>
    <n v="7.5"/>
    <n v="7.1"/>
    <x v="0"/>
    <n v="6.615E-2"/>
    <x v="0"/>
  </r>
  <r>
    <x v="3"/>
    <x v="69"/>
    <n v="2.52E-2"/>
    <n v="7.5"/>
    <n v="7.1"/>
    <x v="0"/>
    <n v="0.1764"/>
    <x v="0"/>
  </r>
  <r>
    <x v="0"/>
    <x v="19"/>
    <n v="8.5500000000000003E-3"/>
    <n v="3.75"/>
    <n v="3.35"/>
    <x v="1"/>
    <n v="2.5649999999999999E-2"/>
    <x v="0"/>
  </r>
  <r>
    <x v="0"/>
    <x v="3"/>
    <n v="3.2000000000000002E-3"/>
    <n v="1.6"/>
    <n v="1.2000000000000002"/>
    <x v="2"/>
    <n v="3.2000000000000002E-3"/>
    <x v="0"/>
  </r>
  <r>
    <x v="0"/>
    <x v="40"/>
    <n v="4.1799999999999997E-3"/>
    <n v="2.8650000000000002"/>
    <n v="2.4650000000000003"/>
    <x v="6"/>
    <n v="8.3599999999999994E-3"/>
    <x v="0"/>
  </r>
  <r>
    <x v="0"/>
    <x v="40"/>
    <n v="4.1799999999999997E-3"/>
    <n v="2.8650000000000002"/>
    <n v="2.4650000000000003"/>
    <x v="6"/>
    <n v="8.3599999999999994E-3"/>
    <x v="0"/>
  </r>
  <r>
    <x v="0"/>
    <x v="40"/>
    <n v="4.1799999999999997E-3"/>
    <n v="2.8650000000000002"/>
    <n v="2.4650000000000003"/>
    <x v="6"/>
    <n v="8.3599999999999994E-3"/>
    <x v="0"/>
  </r>
  <r>
    <x v="0"/>
    <x v="40"/>
    <n v="4.1799999999999997E-3"/>
    <n v="2.8650000000000002"/>
    <n v="2.4650000000000003"/>
    <x v="6"/>
    <n v="8.3599999999999994E-3"/>
    <x v="0"/>
  </r>
  <r>
    <x v="0"/>
    <x v="19"/>
    <n v="8.5500000000000003E-3"/>
    <n v="3.75"/>
    <n v="3.35"/>
    <x v="1"/>
    <n v="2.5649999999999999E-2"/>
    <x v="0"/>
  </r>
  <r>
    <x v="0"/>
    <x v="0"/>
    <n v="9.4500000000000001E-3"/>
    <n v="7.5"/>
    <n v="7.1"/>
    <x v="0"/>
    <n v="6.615E-2"/>
    <x v="0"/>
  </r>
  <r>
    <x v="0"/>
    <x v="3"/>
    <n v="3.2000000000000002E-3"/>
    <n v="1.7749999999999999"/>
    <n v="1.375"/>
    <x v="2"/>
    <n v="3.2000000000000002E-3"/>
    <x v="0"/>
  </r>
  <r>
    <x v="0"/>
    <x v="0"/>
    <n v="9.4500000000000001E-3"/>
    <n v="7.5"/>
    <n v="7.1"/>
    <x v="0"/>
    <n v="6.615E-2"/>
    <x v="0"/>
  </r>
  <r>
    <x v="0"/>
    <x v="0"/>
    <n v="9.4500000000000001E-3"/>
    <n v="5.2833329999999998"/>
    <n v="4.8833329999999995"/>
    <x v="3"/>
    <n v="3.78E-2"/>
    <x v="0"/>
  </r>
  <r>
    <x v="3"/>
    <x v="20"/>
    <n v="3.5999999999999997E-2"/>
    <n v="7.5"/>
    <n v="7.1"/>
    <x v="0"/>
    <n v="0.252"/>
    <x v="1"/>
  </r>
  <r>
    <x v="0"/>
    <x v="6"/>
    <n v="5.4799999999999996E-3"/>
    <n v="2.5"/>
    <n v="2.1"/>
    <x v="6"/>
    <n v="1.0959999999999999E-2"/>
    <x v="0"/>
  </r>
  <r>
    <x v="0"/>
    <x v="19"/>
    <n v="8.5500000000000003E-3"/>
    <n v="7.5"/>
    <n v="7.1"/>
    <x v="0"/>
    <n v="5.985E-2"/>
    <x v="0"/>
  </r>
  <r>
    <x v="0"/>
    <x v="2"/>
    <n v="3.9699999999999996E-3"/>
    <n v="3.75"/>
    <n v="3.35"/>
    <x v="1"/>
    <n v="1.1909999999999999E-2"/>
    <x v="0"/>
  </r>
  <r>
    <x v="0"/>
    <x v="4"/>
    <n v="6.8799999999999998E-3"/>
    <n v="5.1349999999999998"/>
    <n v="4.7349999999999994"/>
    <x v="3"/>
    <n v="2.7519999999999999E-2"/>
    <x v="0"/>
  </r>
  <r>
    <x v="1"/>
    <x v="5"/>
    <n v="8.5500000000000003E-3"/>
    <n v="0.89"/>
    <n v="0.49"/>
    <x v="4"/>
    <n v="0"/>
    <x v="0"/>
  </r>
  <r>
    <x v="0"/>
    <x v="3"/>
    <n v="3.2000000000000002E-3"/>
    <n v="1.4750000000000001"/>
    <n v="1.0750000000000002"/>
    <x v="2"/>
    <n v="3.2000000000000002E-3"/>
    <x v="0"/>
  </r>
  <r>
    <x v="0"/>
    <x v="2"/>
    <n v="3.9699999999999996E-3"/>
    <n v="3.45"/>
    <n v="3.0500000000000003"/>
    <x v="1"/>
    <n v="1.1909999999999999E-2"/>
    <x v="0"/>
  </r>
  <r>
    <x v="0"/>
    <x v="68"/>
    <n v="3.82E-3"/>
    <n v="4.05"/>
    <n v="3.65"/>
    <x v="1"/>
    <n v="1.146E-2"/>
    <x v="0"/>
  </r>
  <r>
    <x v="0"/>
    <x v="2"/>
    <n v="3.9699999999999996E-3"/>
    <n v="4.05"/>
    <n v="3.65"/>
    <x v="1"/>
    <n v="1.1909999999999999E-2"/>
    <x v="0"/>
  </r>
  <r>
    <x v="0"/>
    <x v="2"/>
    <n v="3.9699999999999996E-3"/>
    <n v="2.25"/>
    <n v="1.85"/>
    <x v="2"/>
    <n v="3.9699999999999996E-3"/>
    <x v="0"/>
  </r>
  <r>
    <x v="3"/>
    <x v="69"/>
    <n v="2.52E-2"/>
    <n v="7.5"/>
    <n v="7.1"/>
    <x v="0"/>
    <n v="0.1764"/>
    <x v="0"/>
  </r>
  <r>
    <x v="0"/>
    <x v="0"/>
    <n v="9.4500000000000001E-3"/>
    <n v="5.7549999999999999"/>
    <n v="5.3549999999999995"/>
    <x v="7"/>
    <n v="4.725E-2"/>
    <x v="0"/>
  </r>
  <r>
    <x v="0"/>
    <x v="0"/>
    <n v="9.4500000000000001E-3"/>
    <n v="3.52"/>
    <n v="3.12"/>
    <x v="1"/>
    <n v="2.835E-2"/>
    <x v="0"/>
  </r>
  <r>
    <x v="0"/>
    <x v="6"/>
    <n v="5.4799999999999996E-3"/>
    <n v="3.98"/>
    <n v="3.58"/>
    <x v="1"/>
    <n v="1.644E-2"/>
    <x v="0"/>
  </r>
  <r>
    <x v="0"/>
    <x v="0"/>
    <n v="9.4500000000000001E-3"/>
    <n v="3.52"/>
    <n v="3.12"/>
    <x v="1"/>
    <n v="2.835E-2"/>
    <x v="0"/>
  </r>
  <r>
    <x v="0"/>
    <x v="2"/>
    <n v="3.9699999999999996E-3"/>
    <n v="1.73"/>
    <n v="1.33"/>
    <x v="2"/>
    <n v="3.9699999999999996E-3"/>
    <x v="0"/>
  </r>
  <r>
    <x v="0"/>
    <x v="4"/>
    <n v="6.8799999999999998E-3"/>
    <n v="5.7549999999999999"/>
    <n v="5.3549999999999995"/>
    <x v="7"/>
    <n v="3.44E-2"/>
    <x v="0"/>
  </r>
  <r>
    <x v="0"/>
    <x v="71"/>
    <n v="8.5500000000000003E-3"/>
    <n v="7.5"/>
    <n v="7.1"/>
    <x v="0"/>
    <n v="5.985E-2"/>
    <x v="0"/>
  </r>
  <r>
    <x v="0"/>
    <x v="71"/>
    <n v="8.5500000000000003E-3"/>
    <n v="7.5"/>
    <n v="7.1"/>
    <x v="0"/>
    <n v="5.985E-2"/>
    <x v="0"/>
  </r>
  <r>
    <x v="0"/>
    <x v="1"/>
    <n v="6.1199999999999996E-3"/>
    <n v="3.43"/>
    <n v="3.0300000000000002"/>
    <x v="1"/>
    <n v="1.8359999999999998E-2"/>
    <x v="0"/>
  </r>
  <r>
    <x v="0"/>
    <x v="1"/>
    <n v="6.1199999999999996E-3"/>
    <n v="3.43"/>
    <n v="3.0300000000000002"/>
    <x v="1"/>
    <n v="1.8359999999999998E-2"/>
    <x v="0"/>
  </r>
  <r>
    <x v="0"/>
    <x v="2"/>
    <n v="3.9699999999999996E-3"/>
    <n v="3.43"/>
    <n v="3.0300000000000002"/>
    <x v="1"/>
    <n v="1.1909999999999999E-2"/>
    <x v="0"/>
  </r>
  <r>
    <x v="0"/>
    <x v="3"/>
    <n v="3.2000000000000002E-3"/>
    <n v="1.39"/>
    <n v="0.98999999999999988"/>
    <x v="4"/>
    <n v="0"/>
    <x v="0"/>
  </r>
  <r>
    <x v="0"/>
    <x v="3"/>
    <n v="3.2000000000000002E-3"/>
    <n v="1.016"/>
    <n v="0.61599999999999999"/>
    <x v="4"/>
    <n v="0"/>
    <x v="0"/>
  </r>
  <r>
    <x v="0"/>
    <x v="3"/>
    <n v="3.2000000000000002E-3"/>
    <n v="2.09"/>
    <n v="1.69"/>
    <x v="2"/>
    <n v="3.2000000000000002E-3"/>
    <x v="0"/>
  </r>
  <r>
    <x v="0"/>
    <x v="3"/>
    <n v="3.2000000000000002E-3"/>
    <n v="2.0411280000000001"/>
    <n v="1.6411280000000001"/>
    <x v="2"/>
    <n v="3.2000000000000002E-3"/>
    <x v="0"/>
  </r>
  <r>
    <x v="0"/>
    <x v="0"/>
    <n v="9.4500000000000001E-3"/>
    <n v="7.9056940000000004"/>
    <n v="7.5056940000000001"/>
    <x v="0"/>
    <n v="6.615E-2"/>
    <x v="0"/>
  </r>
  <r>
    <x v="0"/>
    <x v="0"/>
    <n v="9.4500000000000001E-3"/>
    <n v="7.0097149999999999"/>
    <n v="6.6097149999999996"/>
    <x v="5"/>
    <n v="5.67E-2"/>
    <x v="0"/>
  </r>
  <r>
    <x v="0"/>
    <x v="2"/>
    <n v="3.9699999999999996E-3"/>
    <n v="4.3918439999999999"/>
    <n v="3.9918439999999999"/>
    <x v="1"/>
    <n v="1.1909999999999999E-2"/>
    <x v="0"/>
  </r>
  <r>
    <x v="0"/>
    <x v="22"/>
    <n v="1.55E-2"/>
    <n v="5.617"/>
    <n v="5.2169999999999996"/>
    <x v="7"/>
    <n v="7.7499999999999999E-2"/>
    <x v="0"/>
  </r>
  <r>
    <x v="0"/>
    <x v="22"/>
    <n v="1.55E-2"/>
    <n v="5.617"/>
    <n v="5.2169999999999996"/>
    <x v="7"/>
    <n v="7.7499999999999999E-2"/>
    <x v="0"/>
  </r>
  <r>
    <x v="0"/>
    <x v="12"/>
    <n v="5.8700000000000002E-3"/>
    <n v="4.6550000000000002"/>
    <n v="4.2549999999999999"/>
    <x v="3"/>
    <n v="2.3480000000000001E-2"/>
    <x v="0"/>
  </r>
  <r>
    <x v="0"/>
    <x v="12"/>
    <n v="5.8700000000000002E-3"/>
    <n v="4.6550000000000002"/>
    <n v="4.2549999999999999"/>
    <x v="3"/>
    <n v="2.3480000000000001E-2"/>
    <x v="0"/>
  </r>
  <r>
    <x v="0"/>
    <x v="12"/>
    <n v="5.8700000000000002E-3"/>
    <n v="4.6550000000000002"/>
    <n v="4.2549999999999999"/>
    <x v="3"/>
    <n v="2.3480000000000001E-2"/>
    <x v="0"/>
  </r>
  <r>
    <x v="0"/>
    <x v="12"/>
    <n v="5.8700000000000002E-3"/>
    <n v="2.98"/>
    <n v="2.58"/>
    <x v="6"/>
    <n v="1.174E-2"/>
    <x v="0"/>
  </r>
  <r>
    <x v="0"/>
    <x v="12"/>
    <n v="5.8700000000000002E-3"/>
    <n v="2.98"/>
    <n v="2.58"/>
    <x v="6"/>
    <n v="1.174E-2"/>
    <x v="0"/>
  </r>
  <r>
    <x v="0"/>
    <x v="22"/>
    <n v="1.55E-2"/>
    <n v="5.617"/>
    <n v="5.2169999999999996"/>
    <x v="7"/>
    <n v="7.7499999999999999E-2"/>
    <x v="0"/>
  </r>
  <r>
    <x v="0"/>
    <x v="22"/>
    <n v="1.55E-2"/>
    <n v="5.617"/>
    <n v="5.2169999999999996"/>
    <x v="7"/>
    <n v="7.7499999999999999E-2"/>
    <x v="0"/>
  </r>
  <r>
    <x v="0"/>
    <x v="12"/>
    <n v="5.8700000000000002E-3"/>
    <n v="2.98"/>
    <n v="2.58"/>
    <x v="6"/>
    <n v="1.174E-2"/>
    <x v="0"/>
  </r>
  <r>
    <x v="0"/>
    <x v="4"/>
    <n v="6.8799999999999998E-3"/>
    <n v="7.5"/>
    <n v="7.1"/>
    <x v="0"/>
    <n v="4.8160000000000001E-2"/>
    <x v="0"/>
  </r>
  <r>
    <x v="0"/>
    <x v="68"/>
    <n v="3.82E-3"/>
    <n v="7.5"/>
    <n v="7.1"/>
    <x v="0"/>
    <n v="2.674E-2"/>
    <x v="0"/>
  </r>
  <r>
    <x v="0"/>
    <x v="68"/>
    <n v="3.82E-3"/>
    <n v="2.2250000000000001"/>
    <n v="1.8250000000000002"/>
    <x v="2"/>
    <n v="3.82E-3"/>
    <x v="0"/>
  </r>
  <r>
    <x v="0"/>
    <x v="68"/>
    <n v="3.82E-3"/>
    <n v="2.2250000000000001"/>
    <n v="1.8250000000000002"/>
    <x v="2"/>
    <n v="3.82E-3"/>
    <x v="0"/>
  </r>
  <r>
    <x v="0"/>
    <x v="68"/>
    <n v="3.82E-3"/>
    <n v="3.2149999999999999"/>
    <n v="2.8149999999999999"/>
    <x v="6"/>
    <n v="7.6400000000000001E-3"/>
    <x v="0"/>
  </r>
  <r>
    <x v="0"/>
    <x v="6"/>
    <n v="5.4799999999999996E-3"/>
    <n v="3.2149999999999999"/>
    <n v="2.8149999999999999"/>
    <x v="6"/>
    <n v="1.0959999999999999E-2"/>
    <x v="0"/>
  </r>
  <r>
    <x v="0"/>
    <x v="6"/>
    <n v="5.4799999999999996E-3"/>
    <n v="7.5"/>
    <n v="7.1"/>
    <x v="0"/>
    <n v="3.8359999999999998E-2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6"/>
    <n v="5.4799999999999996E-3"/>
    <n v="4.6349999999999998"/>
    <n v="4.2349999999999994"/>
    <x v="3"/>
    <n v="2.1919999999999999E-2"/>
    <x v="0"/>
  </r>
  <r>
    <x v="0"/>
    <x v="3"/>
    <n v="3.2000000000000002E-3"/>
    <n v="4.6349999999999998"/>
    <n v="4.2349999999999994"/>
    <x v="3"/>
    <n v="1.2800000000000001E-2"/>
    <x v="0"/>
  </r>
  <r>
    <x v="0"/>
    <x v="3"/>
    <n v="3.2000000000000002E-3"/>
    <n v="4.6349999999999998"/>
    <n v="4.2349999999999994"/>
    <x v="3"/>
    <n v="1.2800000000000001E-2"/>
    <x v="0"/>
  </r>
  <r>
    <x v="0"/>
    <x v="6"/>
    <n v="5.4799999999999996E-3"/>
    <n v="4.6349999999999998"/>
    <n v="4.2349999999999994"/>
    <x v="3"/>
    <n v="2.1919999999999999E-2"/>
    <x v="0"/>
  </r>
  <r>
    <x v="0"/>
    <x v="1"/>
    <n v="6.1199999999999996E-3"/>
    <n v="7.5"/>
    <n v="7.1"/>
    <x v="0"/>
    <n v="4.2839999999999996E-2"/>
    <x v="0"/>
  </r>
  <r>
    <x v="0"/>
    <x v="19"/>
    <n v="8.5500000000000003E-3"/>
    <n v="7.5"/>
    <n v="7.1"/>
    <x v="0"/>
    <n v="5.985E-2"/>
    <x v="0"/>
  </r>
  <r>
    <x v="0"/>
    <x v="8"/>
    <n v="5.3400000000000001E-3"/>
    <n v="7.5"/>
    <n v="7.1"/>
    <x v="0"/>
    <n v="3.7380000000000004E-2"/>
    <x v="0"/>
  </r>
  <r>
    <x v="0"/>
    <x v="1"/>
    <n v="6.1199999999999996E-3"/>
    <n v="7.5"/>
    <n v="7.1"/>
    <x v="0"/>
    <n v="4.2839999999999996E-2"/>
    <x v="0"/>
  </r>
  <r>
    <x v="0"/>
    <x v="6"/>
    <n v="5.4799999999999996E-3"/>
    <n v="7.5"/>
    <n v="7.1"/>
    <x v="0"/>
    <n v="3.8359999999999998E-2"/>
    <x v="0"/>
  </r>
  <r>
    <x v="0"/>
    <x v="22"/>
    <n v="1.55E-2"/>
    <n v="7.5"/>
    <n v="7.1"/>
    <x v="0"/>
    <n v="0.1085"/>
    <x v="0"/>
  </r>
  <r>
    <x v="0"/>
    <x v="8"/>
    <n v="5.3400000000000001E-3"/>
    <n v="7.5"/>
    <n v="7.1"/>
    <x v="0"/>
    <n v="3.7380000000000004E-2"/>
    <x v="0"/>
  </r>
  <r>
    <x v="0"/>
    <x v="68"/>
    <n v="3.82E-3"/>
    <n v="7.5"/>
    <n v="7.1"/>
    <x v="0"/>
    <n v="2.674E-2"/>
    <x v="0"/>
  </r>
  <r>
    <x v="0"/>
    <x v="68"/>
    <n v="3.82E-3"/>
    <n v="2.3650000000000002"/>
    <n v="1.9650000000000003"/>
    <x v="2"/>
    <n v="3.82E-3"/>
    <x v="0"/>
  </r>
  <r>
    <x v="0"/>
    <x v="68"/>
    <n v="3.82E-3"/>
    <n v="2.3650000000000002"/>
    <n v="1.9650000000000003"/>
    <x v="2"/>
    <n v="3.82E-3"/>
    <x v="0"/>
  </r>
  <r>
    <x v="0"/>
    <x v="3"/>
    <n v="3.2000000000000002E-3"/>
    <n v="4.6349999999999998"/>
    <n v="4.2349999999999994"/>
    <x v="3"/>
    <n v="1.2800000000000001E-2"/>
    <x v="0"/>
  </r>
  <r>
    <x v="0"/>
    <x v="3"/>
    <n v="3.2000000000000002E-3"/>
    <n v="4.6349999999999998"/>
    <n v="4.2349999999999994"/>
    <x v="3"/>
    <n v="1.2800000000000001E-2"/>
    <x v="0"/>
  </r>
  <r>
    <x v="0"/>
    <x v="68"/>
    <n v="3.82E-3"/>
    <n v="6.26"/>
    <n v="5.8599999999999994"/>
    <x v="7"/>
    <n v="1.9099999999999999E-2"/>
    <x v="0"/>
  </r>
  <r>
    <x v="0"/>
    <x v="19"/>
    <n v="8.5500000000000003E-3"/>
    <n v="7.5"/>
    <n v="7.1"/>
    <x v="0"/>
    <n v="5.985E-2"/>
    <x v="0"/>
  </r>
  <r>
    <x v="0"/>
    <x v="1"/>
    <n v="6.1199999999999996E-3"/>
    <n v="7.5"/>
    <n v="7.1"/>
    <x v="0"/>
    <n v="4.2839999999999996E-2"/>
    <x v="0"/>
  </r>
  <r>
    <x v="0"/>
    <x v="19"/>
    <n v="8.5500000000000003E-3"/>
    <n v="7.5"/>
    <n v="7.1"/>
    <x v="0"/>
    <n v="5.985E-2"/>
    <x v="0"/>
  </r>
  <r>
    <x v="0"/>
    <x v="1"/>
    <n v="6.1199999999999996E-3"/>
    <n v="7.5"/>
    <n v="7.1"/>
    <x v="0"/>
    <n v="4.2839999999999996E-2"/>
    <x v="0"/>
  </r>
  <r>
    <x v="0"/>
    <x v="6"/>
    <n v="5.4799999999999996E-3"/>
    <n v="4.6349999999999998"/>
    <n v="4.2349999999999994"/>
    <x v="3"/>
    <n v="2.1919999999999999E-2"/>
    <x v="0"/>
  </r>
  <r>
    <x v="0"/>
    <x v="6"/>
    <n v="5.4799999999999996E-3"/>
    <n v="4.6349999999999998"/>
    <n v="4.2349999999999994"/>
    <x v="3"/>
    <n v="2.1919999999999999E-2"/>
    <x v="0"/>
  </r>
  <r>
    <x v="0"/>
    <x v="68"/>
    <n v="3.82E-3"/>
    <n v="2.79"/>
    <n v="2.39"/>
    <x v="6"/>
    <n v="7.6400000000000001E-3"/>
    <x v="0"/>
  </r>
  <r>
    <x v="0"/>
    <x v="68"/>
    <n v="3.82E-3"/>
    <n v="2.79"/>
    <n v="2.39"/>
    <x v="6"/>
    <n v="7.6400000000000001E-3"/>
    <x v="0"/>
  </r>
  <r>
    <x v="0"/>
    <x v="3"/>
    <n v="3.2000000000000002E-3"/>
    <n v="4.7450000000000001"/>
    <n v="4.3449999999999998"/>
    <x v="3"/>
    <n v="1.2800000000000001E-2"/>
    <x v="0"/>
  </r>
  <r>
    <x v="0"/>
    <x v="68"/>
    <n v="3.82E-3"/>
    <n v="6.39"/>
    <n v="5.9899999999999993"/>
    <x v="7"/>
    <n v="1.9099999999999999E-2"/>
    <x v="0"/>
  </r>
  <r>
    <x v="0"/>
    <x v="68"/>
    <n v="3.82E-3"/>
    <n v="2.35"/>
    <n v="1.9500000000000002"/>
    <x v="2"/>
    <n v="3.82E-3"/>
    <x v="0"/>
  </r>
  <r>
    <x v="0"/>
    <x v="3"/>
    <n v="3.2000000000000002E-3"/>
    <n v="4.7450000000000001"/>
    <n v="4.3449999999999998"/>
    <x v="3"/>
    <n v="1.2800000000000001E-2"/>
    <x v="0"/>
  </r>
  <r>
    <x v="0"/>
    <x v="3"/>
    <n v="3.2000000000000002E-3"/>
    <n v="6.01"/>
    <n v="5.6099999999999994"/>
    <x v="7"/>
    <n v="1.6E-2"/>
    <x v="0"/>
  </r>
  <r>
    <x v="0"/>
    <x v="3"/>
    <n v="3.2000000000000002E-3"/>
    <n v="3.75"/>
    <n v="3.35"/>
    <x v="1"/>
    <n v="9.6000000000000009E-3"/>
    <x v="0"/>
  </r>
  <r>
    <x v="0"/>
    <x v="68"/>
    <n v="3.82E-3"/>
    <n v="2.2349999999999999"/>
    <n v="1.835"/>
    <x v="2"/>
    <n v="3.82E-3"/>
    <x v="0"/>
  </r>
  <r>
    <x v="0"/>
    <x v="1"/>
    <n v="6.1199999999999996E-3"/>
    <n v="8.5500000000000007"/>
    <n v="8.15"/>
    <x v="11"/>
    <n v="4.8959999999999997E-2"/>
    <x v="0"/>
  </r>
  <r>
    <x v="0"/>
    <x v="68"/>
    <n v="3.82E-3"/>
    <n v="2.2350219999999998"/>
    <n v="1.8350219999999999"/>
    <x v="2"/>
    <n v="3.82E-3"/>
    <x v="0"/>
  </r>
  <r>
    <x v="0"/>
    <x v="21"/>
    <n v="4.9800000000000001E-3"/>
    <n v="1.849996"/>
    <n v="1.4499960000000001"/>
    <x v="2"/>
    <n v="4.9800000000000001E-3"/>
    <x v="0"/>
  </r>
  <r>
    <x v="0"/>
    <x v="47"/>
    <n v="9.4599999999999997E-3"/>
    <n v="3.7499739999999999"/>
    <n v="3.349974"/>
    <x v="1"/>
    <n v="2.8379999999999999E-2"/>
    <x v="0"/>
  </r>
  <r>
    <x v="0"/>
    <x v="21"/>
    <n v="4.9800000000000001E-3"/>
    <n v="1.8499829999999999"/>
    <n v="1.449983"/>
    <x v="2"/>
    <n v="4.9800000000000001E-3"/>
    <x v="0"/>
  </r>
  <r>
    <x v="0"/>
    <x v="50"/>
    <n v="5.8599999999999998E-3"/>
    <n v="3.7399740000000001"/>
    <n v="3.3399740000000002"/>
    <x v="1"/>
    <n v="1.7579999999999998E-2"/>
    <x v="0"/>
  </r>
  <r>
    <x v="0"/>
    <x v="50"/>
    <n v="5.8599999999999998E-3"/>
    <n v="3.7499739999999999"/>
    <n v="3.349974"/>
    <x v="1"/>
    <n v="1.7579999999999998E-2"/>
    <x v="0"/>
  </r>
  <r>
    <x v="0"/>
    <x v="44"/>
    <n v="1.0500000000000001E-2"/>
    <n v="3.7499739999999999"/>
    <n v="3.349974"/>
    <x v="1"/>
    <n v="3.15E-2"/>
    <x v="0"/>
  </r>
  <r>
    <x v="0"/>
    <x v="26"/>
    <n v="3.0300000000000001E-2"/>
    <n v="7.4999739999999999"/>
    <n v="7.0999739999999996"/>
    <x v="0"/>
    <n v="0.21210000000000001"/>
    <x v="0"/>
  </r>
  <r>
    <x v="0"/>
    <x v="26"/>
    <n v="3.0300000000000001E-2"/>
    <n v="7.4999729999999998"/>
    <n v="7.0999729999999994"/>
    <x v="0"/>
    <n v="0.21210000000000001"/>
    <x v="0"/>
  </r>
  <r>
    <x v="0"/>
    <x v="35"/>
    <n v="1.0500000000000001E-2"/>
    <n v="7.9056660000000001"/>
    <n v="7.5056659999999997"/>
    <x v="0"/>
    <n v="7.350000000000001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32"/>
    <n v="1.78E-2"/>
    <n v="7.1000220000000001"/>
    <n v="6.7000219999999997"/>
    <x v="5"/>
    <n v="0.10680000000000001"/>
    <x v="0"/>
  </r>
  <r>
    <x v="1"/>
    <x v="5"/>
    <n v="8.5500000000000003E-3"/>
    <n v="3.8000219999999998"/>
    <n v="3.4000219999999999"/>
    <x v="1"/>
    <n v="2.5649999999999999E-2"/>
    <x v="0"/>
  </r>
  <r>
    <x v="0"/>
    <x v="43"/>
    <n v="4.2100000000000002E-3"/>
    <n v="5.5000260000000001"/>
    <n v="5.1000259999999997"/>
    <x v="7"/>
    <n v="2.1049999999999999E-2"/>
    <x v="0"/>
  </r>
  <r>
    <x v="0"/>
    <x v="26"/>
    <n v="3.0300000000000001E-2"/>
    <n v="5.5000260000000001"/>
    <n v="5.1000259999999997"/>
    <x v="7"/>
    <n v="0.1515"/>
    <x v="0"/>
  </r>
  <r>
    <x v="0"/>
    <x v="26"/>
    <n v="3.0300000000000001E-2"/>
    <n v="5.5000260000000001"/>
    <n v="5.1000259999999997"/>
    <x v="7"/>
    <n v="0.1515"/>
    <x v="0"/>
  </r>
  <r>
    <x v="0"/>
    <x v="26"/>
    <n v="3.0300000000000001E-2"/>
    <n v="5.5000260000000001"/>
    <n v="5.1000259999999997"/>
    <x v="7"/>
    <n v="0.1515"/>
    <x v="0"/>
  </r>
  <r>
    <x v="0"/>
    <x v="22"/>
    <n v="1.55E-2"/>
    <n v="5.5000260000000001"/>
    <n v="5.1000259999999997"/>
    <x v="7"/>
    <n v="7.7499999999999999E-2"/>
    <x v="0"/>
  </r>
  <r>
    <x v="0"/>
    <x v="44"/>
    <n v="1.0500000000000001E-2"/>
    <n v="5.5000260000000001"/>
    <n v="5.1000259999999997"/>
    <x v="7"/>
    <n v="5.2500000000000005E-2"/>
    <x v="0"/>
  </r>
  <r>
    <x v="0"/>
    <x v="44"/>
    <n v="1.0500000000000001E-2"/>
    <n v="5.5000260000000001"/>
    <n v="5.1000259999999997"/>
    <x v="7"/>
    <n v="5.2500000000000005E-2"/>
    <x v="0"/>
  </r>
  <r>
    <x v="0"/>
    <x v="44"/>
    <n v="1.0500000000000001E-2"/>
    <n v="5.5000260000000001"/>
    <n v="5.1000259999999997"/>
    <x v="7"/>
    <n v="5.2500000000000005E-2"/>
    <x v="0"/>
  </r>
  <r>
    <x v="0"/>
    <x v="44"/>
    <n v="1.0500000000000001E-2"/>
    <n v="5.5000260000000001"/>
    <n v="5.1000259999999997"/>
    <x v="7"/>
    <n v="5.2500000000000005E-2"/>
    <x v="0"/>
  </r>
  <r>
    <x v="0"/>
    <x v="38"/>
    <n v="1.17E-2"/>
    <n v="5.5000260000000001"/>
    <n v="5.1000259999999997"/>
    <x v="7"/>
    <n v="5.8500000000000003E-2"/>
    <x v="0"/>
  </r>
  <r>
    <x v="0"/>
    <x v="22"/>
    <n v="1.55E-2"/>
    <n v="5.5000260000000001"/>
    <n v="5.1000259999999997"/>
    <x v="7"/>
    <n v="7.7499999999999999E-2"/>
    <x v="0"/>
  </r>
  <r>
    <x v="0"/>
    <x v="22"/>
    <n v="1.55E-2"/>
    <n v="5.5000260000000001"/>
    <n v="5.1000259999999997"/>
    <x v="7"/>
    <n v="7.7499999999999999E-2"/>
    <x v="0"/>
  </r>
  <r>
    <x v="0"/>
    <x v="26"/>
    <n v="3.0300000000000001E-2"/>
    <n v="5.5000260000000001"/>
    <n v="5.1000259999999997"/>
    <x v="7"/>
    <n v="0.1515"/>
    <x v="0"/>
  </r>
  <r>
    <x v="0"/>
    <x v="21"/>
    <n v="4.9800000000000001E-3"/>
    <n v="7.4533009999999997"/>
    <n v="7.0533009999999994"/>
    <x v="0"/>
    <n v="3.4860000000000002E-2"/>
    <x v="0"/>
  </r>
  <r>
    <x v="0"/>
    <x v="21"/>
    <n v="4.9800000000000001E-3"/>
    <n v="6.9072250000000004"/>
    <n v="6.507225"/>
    <x v="5"/>
    <n v="2.988E-2"/>
    <x v="0"/>
  </r>
  <r>
    <x v="0"/>
    <x v="26"/>
    <n v="3.0300000000000001E-2"/>
    <n v="6.361148"/>
    <n v="5.9611479999999997"/>
    <x v="7"/>
    <n v="0.1515"/>
    <x v="0"/>
  </r>
  <r>
    <x v="0"/>
    <x v="26"/>
    <n v="3.0300000000000001E-2"/>
    <n v="7.158207"/>
    <n v="6.7582069999999996"/>
    <x v="5"/>
    <n v="0.18180000000000002"/>
    <x v="0"/>
  </r>
  <r>
    <x v="0"/>
    <x v="21"/>
    <n v="4.9800000000000001E-3"/>
    <n v="4.1077940000000002"/>
    <n v="3.7077940000000003"/>
    <x v="1"/>
    <n v="1.494E-2"/>
    <x v="0"/>
  </r>
  <r>
    <x v="0"/>
    <x v="21"/>
    <n v="4.9800000000000001E-3"/>
    <n v="3.9999739999999999"/>
    <n v="3.599974"/>
    <x v="1"/>
    <n v="1.494E-2"/>
    <x v="0"/>
  </r>
  <r>
    <x v="0"/>
    <x v="21"/>
    <n v="4.9800000000000001E-3"/>
    <n v="3.9999739999999999"/>
    <n v="3.599974"/>
    <x v="1"/>
    <n v="1.494E-2"/>
    <x v="0"/>
  </r>
  <r>
    <x v="0"/>
    <x v="21"/>
    <n v="4.9800000000000001E-3"/>
    <n v="3.9999739999999999"/>
    <n v="3.599974"/>
    <x v="1"/>
    <n v="1.494E-2"/>
    <x v="0"/>
  </r>
  <r>
    <x v="0"/>
    <x v="22"/>
    <n v="1.55E-2"/>
    <n v="3.380506"/>
    <n v="2.9805060000000001"/>
    <x v="6"/>
    <n v="3.1E-2"/>
    <x v="0"/>
  </r>
  <r>
    <x v="0"/>
    <x v="26"/>
    <n v="3.0300000000000001E-2"/>
    <n v="9.0784819999999993"/>
    <n v="8.6784819999999989"/>
    <x v="11"/>
    <n v="0.2424"/>
    <x v="0"/>
  </r>
  <r>
    <x v="0"/>
    <x v="26"/>
    <n v="3.0300000000000001E-2"/>
    <n v="8.4409419999999997"/>
    <n v="8.0409419999999994"/>
    <x v="11"/>
    <n v="0.2424"/>
    <x v="0"/>
  </r>
  <r>
    <x v="0"/>
    <x v="36"/>
    <n v="6.4900000000000001E-3"/>
    <n v="8.1549999999999994"/>
    <n v="7.754999999999999"/>
    <x v="0"/>
    <n v="4.5429999999999998E-2"/>
    <x v="0"/>
  </r>
  <r>
    <x v="0"/>
    <x v="36"/>
    <n v="6.4900000000000001E-3"/>
    <n v="8.1549999999999994"/>
    <n v="7.754999999999999"/>
    <x v="0"/>
    <n v="4.5429999999999998E-2"/>
    <x v="0"/>
  </r>
  <r>
    <x v="0"/>
    <x v="10"/>
    <n v="7.26E-3"/>
    <n v="7.5"/>
    <n v="7.1"/>
    <x v="0"/>
    <n v="5.0819999999999997E-2"/>
    <x v="0"/>
  </r>
  <r>
    <x v="0"/>
    <x v="35"/>
    <n v="1.0500000000000001E-2"/>
    <n v="5.94"/>
    <n v="5.54"/>
    <x v="7"/>
    <n v="5.2500000000000005E-2"/>
    <x v="0"/>
  </r>
  <r>
    <x v="0"/>
    <x v="26"/>
    <n v="3.0300000000000001E-2"/>
    <n v="5.94"/>
    <n v="5.54"/>
    <x v="7"/>
    <n v="0.1515"/>
    <x v="0"/>
  </r>
  <r>
    <x v="0"/>
    <x v="26"/>
    <n v="3.0300000000000001E-2"/>
    <n v="5.94"/>
    <n v="5.54"/>
    <x v="7"/>
    <n v="0.1515"/>
    <x v="0"/>
  </r>
  <r>
    <x v="0"/>
    <x v="26"/>
    <n v="3.0300000000000001E-2"/>
    <n v="5.94"/>
    <n v="5.54"/>
    <x v="7"/>
    <n v="0.1515"/>
    <x v="0"/>
  </r>
  <r>
    <x v="0"/>
    <x v="26"/>
    <n v="3.0300000000000001E-2"/>
    <n v="5.94"/>
    <n v="5.54"/>
    <x v="7"/>
    <n v="0.1515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2"/>
    <x v="72"/>
    <n v="0.14280000000000001"/>
    <n v="15"/>
    <n v="14.6"/>
    <x v="12"/>
    <n v="1.9992000000000001"/>
    <x v="1"/>
  </r>
  <r>
    <x v="0"/>
    <x v="34"/>
    <n v="8.5599999999999999E-3"/>
    <n v="2.0660210000000001"/>
    <n v="1.6660210000000002"/>
    <x v="2"/>
    <n v="8.5599999999999999E-3"/>
    <x v="0"/>
  </r>
  <r>
    <x v="0"/>
    <x v="34"/>
    <n v="8.5599999999999999E-3"/>
    <n v="5.8396730000000003"/>
    <n v="5.439673"/>
    <x v="7"/>
    <n v="4.2799999999999998E-2"/>
    <x v="0"/>
  </r>
  <r>
    <x v="0"/>
    <x v="32"/>
    <n v="1.78E-2"/>
    <n v="7.5"/>
    <n v="7.1"/>
    <x v="0"/>
    <n v="0.1246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50"/>
    <n v="5.8599999999999998E-3"/>
    <n v="3.75"/>
    <n v="3.35"/>
    <x v="1"/>
    <n v="1.7579999999999998E-2"/>
    <x v="0"/>
  </r>
  <r>
    <x v="0"/>
    <x v="22"/>
    <n v="1.55E-2"/>
    <n v="5.94"/>
    <n v="5.54"/>
    <x v="7"/>
    <n v="7.7499999999999999E-2"/>
    <x v="0"/>
  </r>
  <r>
    <x v="0"/>
    <x v="44"/>
    <n v="1.0500000000000001E-2"/>
    <n v="5.94"/>
    <n v="5.54"/>
    <x v="7"/>
    <n v="5.2500000000000005E-2"/>
    <x v="0"/>
  </r>
  <r>
    <x v="0"/>
    <x v="22"/>
    <n v="1.55E-2"/>
    <n v="5.94"/>
    <n v="5.54"/>
    <x v="7"/>
    <n v="7.7499999999999999E-2"/>
    <x v="0"/>
  </r>
  <r>
    <x v="0"/>
    <x v="73"/>
    <n v="3.0300000000000001E-2"/>
    <n v="8.67"/>
    <n v="8.27"/>
    <x v="11"/>
    <n v="0.2424"/>
    <x v="1"/>
  </r>
  <r>
    <x v="0"/>
    <x v="22"/>
    <n v="1.55E-2"/>
    <n v="8.67"/>
    <n v="8.27"/>
    <x v="11"/>
    <n v="0.124"/>
    <x v="0"/>
  </r>
  <r>
    <x v="0"/>
    <x v="22"/>
    <n v="1.55E-2"/>
    <n v="8.67"/>
    <n v="8.27"/>
    <x v="11"/>
    <n v="0.124"/>
    <x v="0"/>
  </r>
  <r>
    <x v="0"/>
    <x v="73"/>
    <n v="3.0300000000000001E-2"/>
    <n v="8.67"/>
    <n v="8.27"/>
    <x v="11"/>
    <n v="0.2424"/>
    <x v="1"/>
  </r>
  <r>
    <x v="0"/>
    <x v="55"/>
    <n v="4.9699999999999996E-3"/>
    <n v="4.4960000000000004"/>
    <n v="4.0960000000000001"/>
    <x v="3"/>
    <n v="1.9879999999999998E-2"/>
    <x v="0"/>
  </r>
  <r>
    <x v="0"/>
    <x v="55"/>
    <n v="4.9699999999999996E-3"/>
    <n v="4.4960000000000004"/>
    <n v="4.0960000000000001"/>
    <x v="3"/>
    <n v="1.9879999999999998E-2"/>
    <x v="0"/>
  </r>
  <r>
    <x v="0"/>
    <x v="22"/>
    <n v="1.55E-2"/>
    <n v="7.5"/>
    <n v="7.1"/>
    <x v="0"/>
    <n v="0.1085"/>
    <x v="0"/>
  </r>
  <r>
    <x v="0"/>
    <x v="26"/>
    <n v="3.0300000000000001E-2"/>
    <n v="7.5"/>
    <n v="7.1"/>
    <x v="0"/>
    <n v="0.21210000000000001"/>
    <x v="0"/>
  </r>
  <r>
    <x v="0"/>
    <x v="50"/>
    <n v="5.8599999999999998E-3"/>
    <n v="3.52"/>
    <n v="3.12"/>
    <x v="1"/>
    <n v="1.7579999999999998E-2"/>
    <x v="0"/>
  </r>
  <r>
    <x v="0"/>
    <x v="50"/>
    <n v="5.8599999999999998E-3"/>
    <n v="3.98"/>
    <n v="3.58"/>
    <x v="1"/>
    <n v="1.7579999999999998E-2"/>
    <x v="0"/>
  </r>
  <r>
    <x v="0"/>
    <x v="44"/>
    <n v="1.0500000000000001E-2"/>
    <n v="3.52"/>
    <n v="3.12"/>
    <x v="1"/>
    <n v="3.15E-2"/>
    <x v="0"/>
  </r>
  <r>
    <x v="0"/>
    <x v="26"/>
    <n v="3.0300000000000001E-2"/>
    <n v="6.48"/>
    <n v="6.08"/>
    <x v="5"/>
    <n v="0.18180000000000002"/>
    <x v="0"/>
  </r>
  <r>
    <x v="0"/>
    <x v="22"/>
    <n v="1.55E-2"/>
    <n v="2.5"/>
    <n v="2.1"/>
    <x v="6"/>
    <n v="3.1E-2"/>
    <x v="0"/>
  </r>
  <r>
    <x v="0"/>
    <x v="34"/>
    <n v="8.5599999999999999E-3"/>
    <n v="7.9056940000000004"/>
    <n v="7.5056940000000001"/>
    <x v="0"/>
    <n v="5.9920000000000001E-2"/>
    <x v="0"/>
  </r>
  <r>
    <x v="0"/>
    <x v="22"/>
    <n v="1.55E-2"/>
    <n v="6.33"/>
    <n v="5.93"/>
    <x v="7"/>
    <n v="7.7499999999999999E-2"/>
    <x v="0"/>
  </r>
  <r>
    <x v="0"/>
    <x v="22"/>
    <n v="1.55E-2"/>
    <n v="6.33"/>
    <n v="5.93"/>
    <x v="7"/>
    <n v="7.7499999999999999E-2"/>
    <x v="0"/>
  </r>
  <r>
    <x v="0"/>
    <x v="22"/>
    <n v="1.55E-2"/>
    <n v="6.33"/>
    <n v="5.93"/>
    <x v="7"/>
    <n v="7.7499999999999999E-2"/>
    <x v="0"/>
  </r>
  <r>
    <x v="0"/>
    <x v="22"/>
    <n v="1.55E-2"/>
    <n v="7.51"/>
    <n v="7.1099999999999994"/>
    <x v="0"/>
    <n v="0.1085"/>
    <x v="0"/>
  </r>
  <r>
    <x v="0"/>
    <x v="26"/>
    <n v="3.0300000000000001E-2"/>
    <n v="2.5"/>
    <n v="2.1"/>
    <x v="6"/>
    <n v="6.0600000000000001E-2"/>
    <x v="0"/>
  </r>
  <r>
    <x v="0"/>
    <x v="26"/>
    <n v="3.0300000000000001E-2"/>
    <n v="1.52"/>
    <n v="1.1200000000000001"/>
    <x v="2"/>
    <n v="3.0300000000000001E-2"/>
    <x v="0"/>
  </r>
  <r>
    <x v="0"/>
    <x v="26"/>
    <n v="3.0300000000000001E-2"/>
    <n v="1.52"/>
    <n v="1.1200000000000001"/>
    <x v="2"/>
    <n v="3.0300000000000001E-2"/>
    <x v="0"/>
  </r>
  <r>
    <x v="0"/>
    <x v="26"/>
    <n v="3.0300000000000001E-2"/>
    <n v="1.52"/>
    <n v="1.1200000000000001"/>
    <x v="2"/>
    <n v="3.0300000000000001E-2"/>
    <x v="0"/>
  </r>
  <r>
    <x v="0"/>
    <x v="26"/>
    <n v="3.0300000000000001E-2"/>
    <n v="8.67"/>
    <n v="8.27"/>
    <x v="11"/>
    <n v="0.2424"/>
    <x v="0"/>
  </r>
  <r>
    <x v="0"/>
    <x v="26"/>
    <n v="3.0300000000000001E-2"/>
    <n v="5.94"/>
    <n v="5.54"/>
    <x v="7"/>
    <n v="0.1515"/>
    <x v="0"/>
  </r>
  <r>
    <x v="0"/>
    <x v="26"/>
    <n v="3.0300000000000001E-2"/>
    <n v="9.31"/>
    <n v="8.91"/>
    <x v="11"/>
    <n v="0.2424"/>
    <x v="0"/>
  </r>
  <r>
    <x v="0"/>
    <x v="29"/>
    <n v="1.5900000000000001E-2"/>
    <n v="6.5949999999999998"/>
    <n v="6.1949999999999994"/>
    <x v="5"/>
    <n v="9.5400000000000013E-2"/>
    <x v="0"/>
  </r>
  <r>
    <x v="0"/>
    <x v="22"/>
    <n v="1.55E-2"/>
    <n v="6.33"/>
    <n v="5.93"/>
    <x v="7"/>
    <n v="7.7499999999999999E-2"/>
    <x v="0"/>
  </r>
  <r>
    <x v="0"/>
    <x v="26"/>
    <n v="3.0300000000000001E-2"/>
    <n v="7.5"/>
    <n v="7.1"/>
    <x v="0"/>
    <n v="0.21210000000000001"/>
    <x v="0"/>
  </r>
  <r>
    <x v="0"/>
    <x v="22"/>
    <n v="1.55E-2"/>
    <n v="6.5949999999999998"/>
    <n v="6.1949999999999994"/>
    <x v="5"/>
    <n v="9.2999999999999999E-2"/>
    <x v="0"/>
  </r>
  <r>
    <x v="0"/>
    <x v="74"/>
    <n v="2.8899999999999999E-2"/>
    <n v="9.31"/>
    <n v="8.91"/>
    <x v="11"/>
    <n v="0.23119999999999999"/>
    <x v="1"/>
  </r>
  <r>
    <x v="0"/>
    <x v="26"/>
    <n v="3.0300000000000001E-2"/>
    <n v="5.94"/>
    <n v="5.54"/>
    <x v="7"/>
    <n v="0.1515"/>
    <x v="0"/>
  </r>
  <r>
    <x v="0"/>
    <x v="26"/>
    <n v="3.0300000000000001E-2"/>
    <n v="8.67"/>
    <n v="8.27"/>
    <x v="11"/>
    <n v="0.2424"/>
    <x v="0"/>
  </r>
  <r>
    <x v="0"/>
    <x v="26"/>
    <n v="3.0300000000000001E-2"/>
    <n v="9.7949999999999999"/>
    <n v="9.3949999999999996"/>
    <x v="9"/>
    <n v="0.2727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44"/>
    <n v="1.0500000000000001E-2"/>
    <n v="3.75"/>
    <n v="3.35"/>
    <x v="1"/>
    <n v="3.15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44"/>
    <n v="1.0500000000000001E-2"/>
    <n v="3.75"/>
    <n v="3.35"/>
    <x v="1"/>
    <n v="3.15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22"/>
    <n v="1.55E-2"/>
    <n v="7.5"/>
    <n v="7.1"/>
    <x v="0"/>
    <n v="0.1085"/>
    <x v="0"/>
  </r>
  <r>
    <x v="0"/>
    <x v="26"/>
    <n v="3.0300000000000001E-2"/>
    <n v="5.54"/>
    <n v="5.14"/>
    <x v="7"/>
    <n v="0.1515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50"/>
    <n v="5.8599999999999998E-3"/>
    <n v="3.75"/>
    <n v="3.35"/>
    <x v="1"/>
    <n v="1.7579999999999998E-2"/>
    <x v="0"/>
  </r>
  <r>
    <x v="0"/>
    <x v="44"/>
    <n v="1.0500000000000001E-2"/>
    <n v="3.75"/>
    <n v="3.35"/>
    <x v="1"/>
    <n v="3.15E-2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32"/>
    <n v="1.78E-2"/>
    <n v="7.5"/>
    <n v="7.1"/>
    <x v="0"/>
    <n v="0.1246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6.375"/>
    <n v="5.9749999999999996"/>
    <x v="7"/>
    <n v="7.7499999999999999E-2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3"/>
    <n v="6.6600000000000001E-3"/>
    <n v="7.5"/>
    <n v="7.1"/>
    <x v="0"/>
    <n v="4.6620000000000002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3.3"/>
    <n v="2.9"/>
    <x v="6"/>
    <n v="1.452E-2"/>
    <x v="0"/>
  </r>
  <r>
    <x v="0"/>
    <x v="2"/>
    <n v="3.9699999999999996E-3"/>
    <n v="3.3"/>
    <n v="2.9"/>
    <x v="6"/>
    <n v="7.9399999999999991E-3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3.2"/>
    <n v="2.8000000000000003"/>
    <x v="6"/>
    <n v="9.9600000000000001E-3"/>
    <x v="0"/>
  </r>
  <r>
    <x v="0"/>
    <x v="21"/>
    <n v="4.9800000000000001E-3"/>
    <n v="3.2"/>
    <n v="2.8000000000000003"/>
    <x v="6"/>
    <n v="9.9600000000000001E-3"/>
    <x v="0"/>
  </r>
  <r>
    <x v="0"/>
    <x v="21"/>
    <n v="4.9800000000000001E-3"/>
    <n v="3.2"/>
    <n v="2.8000000000000003"/>
    <x v="6"/>
    <n v="9.9600000000000001E-3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9"/>
    <n v="3.2000000000000002E-3"/>
    <n v="3.88"/>
    <n v="3.48"/>
    <x v="1"/>
    <n v="9.6000000000000009E-3"/>
    <x v="0"/>
  </r>
  <r>
    <x v="0"/>
    <x v="39"/>
    <n v="3.2000000000000002E-3"/>
    <n v="3.88"/>
    <n v="3.48"/>
    <x v="1"/>
    <n v="9.6000000000000009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21"/>
    <n v="4.9800000000000001E-3"/>
    <n v="1.595"/>
    <n v="1.1949999999999998"/>
    <x v="2"/>
    <n v="4.9800000000000001E-3"/>
    <x v="0"/>
  </r>
  <r>
    <x v="0"/>
    <x v="21"/>
    <n v="4.9800000000000001E-3"/>
    <n v="3.2"/>
    <n v="2.8000000000000003"/>
    <x v="6"/>
    <n v="9.960000000000000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2.4300000000000002"/>
    <n v="2.0300000000000002"/>
    <x v="6"/>
    <n v="9.9600000000000001E-3"/>
    <x v="0"/>
  </r>
  <r>
    <x v="0"/>
    <x v="21"/>
    <n v="4.9800000000000001E-3"/>
    <n v="3.75"/>
    <n v="3.35"/>
    <x v="1"/>
    <n v="1.494E-2"/>
    <x v="0"/>
  </r>
  <r>
    <x v="0"/>
    <x v="2"/>
    <n v="3.9699999999999996E-3"/>
    <n v="3.75"/>
    <n v="3.35"/>
    <x v="1"/>
    <n v="1.1909999999999999E-2"/>
    <x v="0"/>
  </r>
  <r>
    <x v="0"/>
    <x v="21"/>
    <n v="4.9800000000000001E-3"/>
    <n v="3.83"/>
    <n v="3.43"/>
    <x v="1"/>
    <n v="1.494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9"/>
    <n v="8.5500000000000003E-3"/>
    <n v="2.2149999999999999"/>
    <n v="1.8149999999999999"/>
    <x v="2"/>
    <n v="8.5500000000000003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"/>
    <n v="3.9699999999999996E-3"/>
    <n v="3.3"/>
    <n v="2.9"/>
    <x v="6"/>
    <n v="7.9399999999999991E-3"/>
    <x v="0"/>
  </r>
  <r>
    <x v="0"/>
    <x v="2"/>
    <n v="3.9699999999999996E-3"/>
    <n v="3.3"/>
    <n v="2.9"/>
    <x v="6"/>
    <n v="7.939999999999999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3.75"/>
    <n v="3.35"/>
    <x v="1"/>
    <n v="1.494E-2"/>
    <x v="0"/>
  </r>
  <r>
    <x v="0"/>
    <x v="21"/>
    <n v="4.9800000000000001E-3"/>
    <n v="3.75"/>
    <n v="3.35"/>
    <x v="1"/>
    <n v="1.494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6.5949999999999998"/>
    <n v="6.1949999999999994"/>
    <x v="5"/>
    <n v="4.3560000000000001E-2"/>
    <x v="0"/>
  </r>
  <r>
    <x v="0"/>
    <x v="10"/>
    <n v="7.26E-3"/>
    <n v="0.90500000000000003"/>
    <n v="0.505"/>
    <x v="4"/>
    <n v="0"/>
    <x v="0"/>
  </r>
  <r>
    <x v="0"/>
    <x v="21"/>
    <n v="4.9800000000000001E-3"/>
    <n v="2.2000000000000002"/>
    <n v="1.8000000000000003"/>
    <x v="2"/>
    <n v="4.9800000000000001E-3"/>
    <x v="0"/>
  </r>
  <r>
    <x v="0"/>
    <x v="21"/>
    <n v="4.9800000000000001E-3"/>
    <n v="2.2000000000000002"/>
    <n v="1.8000000000000003"/>
    <x v="2"/>
    <n v="4.9800000000000001E-3"/>
    <x v="0"/>
  </r>
  <r>
    <x v="0"/>
    <x v="21"/>
    <n v="4.9800000000000001E-3"/>
    <n v="2.2000000000000002"/>
    <n v="1.8000000000000003"/>
    <x v="2"/>
    <n v="4.9800000000000001E-3"/>
    <x v="0"/>
  </r>
  <r>
    <x v="0"/>
    <x v="21"/>
    <n v="4.9800000000000001E-3"/>
    <n v="5.3"/>
    <n v="4.8999999999999995"/>
    <x v="3"/>
    <n v="1.992E-2"/>
    <x v="0"/>
  </r>
  <r>
    <x v="0"/>
    <x v="21"/>
    <n v="4.9800000000000001E-3"/>
    <n v="2.2000000000000002"/>
    <n v="1.8000000000000003"/>
    <x v="2"/>
    <n v="4.9800000000000001E-3"/>
    <x v="0"/>
  </r>
  <r>
    <x v="0"/>
    <x v="21"/>
    <n v="4.9800000000000001E-3"/>
    <n v="5.3"/>
    <n v="4.8999999999999995"/>
    <x v="3"/>
    <n v="1.992E-2"/>
    <x v="0"/>
  </r>
  <r>
    <x v="0"/>
    <x v="2"/>
    <n v="3.9699999999999996E-3"/>
    <n v="3.75"/>
    <n v="3.35"/>
    <x v="1"/>
    <n v="1.1909999999999999E-2"/>
    <x v="0"/>
  </r>
  <r>
    <x v="0"/>
    <x v="19"/>
    <n v="8.5500000000000003E-3"/>
    <n v="2.2149999999999999"/>
    <n v="1.8149999999999999"/>
    <x v="2"/>
    <n v="8.5500000000000003E-3"/>
    <x v="0"/>
  </r>
  <r>
    <x v="0"/>
    <x v="2"/>
    <n v="3.9699999999999996E-3"/>
    <n v="3.75"/>
    <n v="3.35"/>
    <x v="1"/>
    <n v="1.1909999999999999E-2"/>
    <x v="0"/>
  </r>
  <r>
    <x v="0"/>
    <x v="43"/>
    <n v="4.2100000000000002E-3"/>
    <n v="2.5"/>
    <n v="2.1"/>
    <x v="6"/>
    <n v="8.4200000000000004E-3"/>
    <x v="0"/>
  </r>
  <r>
    <x v="0"/>
    <x v="10"/>
    <n v="7.26E-3"/>
    <n v="8.4049999999999994"/>
    <n v="8.004999999999999"/>
    <x v="11"/>
    <n v="5.808E-2"/>
    <x v="0"/>
  </r>
  <r>
    <x v="0"/>
    <x v="9"/>
    <n v="4.7200000000000002E-3"/>
    <n v="5.94"/>
    <n v="5.54"/>
    <x v="7"/>
    <n v="2.3600000000000003E-2"/>
    <x v="1"/>
  </r>
  <r>
    <x v="0"/>
    <x v="9"/>
    <n v="4.7200000000000002E-3"/>
    <n v="5.94"/>
    <n v="5.54"/>
    <x v="7"/>
    <n v="2.3600000000000003E-2"/>
    <x v="1"/>
  </r>
  <r>
    <x v="0"/>
    <x v="10"/>
    <n v="7.26E-3"/>
    <n v="8.4049999999999994"/>
    <n v="8.004999999999999"/>
    <x v="11"/>
    <n v="5.808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1.875"/>
    <n v="1.4750000000000001"/>
    <x v="2"/>
    <n v="4.9800000000000001E-3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21"/>
    <n v="4.9800000000000001E-3"/>
    <n v="5.23"/>
    <n v="4.83"/>
    <x v="3"/>
    <n v="1.992E-2"/>
    <x v="0"/>
  </r>
  <r>
    <x v="0"/>
    <x v="21"/>
    <n v="4.9800000000000001E-3"/>
    <n v="5.915"/>
    <n v="5.5149999999999997"/>
    <x v="7"/>
    <n v="2.4899999999999999E-2"/>
    <x v="0"/>
  </r>
  <r>
    <x v="0"/>
    <x v="21"/>
    <n v="4.9800000000000001E-3"/>
    <n v="6.4333330000000002"/>
    <n v="6.0333329999999998"/>
    <x v="5"/>
    <n v="2.988E-2"/>
    <x v="0"/>
  </r>
  <r>
    <x v="0"/>
    <x v="36"/>
    <n v="6.4900000000000001E-3"/>
    <n v="7.7021649999999999"/>
    <n v="7.3021649999999996"/>
    <x v="0"/>
    <n v="4.5429999999999998E-2"/>
    <x v="0"/>
  </r>
  <r>
    <x v="0"/>
    <x v="21"/>
    <n v="4.9800000000000001E-3"/>
    <n v="2.4883329999999999"/>
    <n v="2.088333"/>
    <x v="6"/>
    <n v="9.9600000000000001E-3"/>
    <x v="0"/>
  </r>
  <r>
    <x v="0"/>
    <x v="24"/>
    <n v="2.8E-3"/>
    <n v="3.004"/>
    <n v="2.6040000000000001"/>
    <x v="6"/>
    <n v="5.5999999999999999E-3"/>
    <x v="0"/>
  </r>
  <r>
    <x v="0"/>
    <x v="24"/>
    <n v="2.8E-3"/>
    <n v="3.004"/>
    <n v="2.6040000000000001"/>
    <x v="6"/>
    <n v="5.5999999999999999E-3"/>
    <x v="0"/>
  </r>
  <r>
    <x v="0"/>
    <x v="24"/>
    <n v="2.8E-3"/>
    <n v="3.42"/>
    <n v="3.02"/>
    <x v="1"/>
    <n v="8.3999999999999995E-3"/>
    <x v="0"/>
  </r>
  <r>
    <x v="0"/>
    <x v="24"/>
    <n v="2.8E-3"/>
    <n v="3.42"/>
    <n v="3.02"/>
    <x v="1"/>
    <n v="8.3999999999999995E-3"/>
    <x v="0"/>
  </r>
  <r>
    <x v="0"/>
    <x v="24"/>
    <n v="2.8E-3"/>
    <n v="1.016"/>
    <n v="0.61599999999999999"/>
    <x v="4"/>
    <n v="0"/>
    <x v="0"/>
  </r>
  <r>
    <x v="0"/>
    <x v="24"/>
    <n v="2.8E-3"/>
    <n v="2.09"/>
    <n v="1.69"/>
    <x v="2"/>
    <n v="2.8E-3"/>
    <x v="0"/>
  </r>
  <r>
    <x v="0"/>
    <x v="24"/>
    <n v="2.8E-3"/>
    <n v="3.09"/>
    <n v="2.69"/>
    <x v="6"/>
    <n v="5.5999999999999999E-3"/>
    <x v="0"/>
  </r>
  <r>
    <x v="0"/>
    <x v="24"/>
    <n v="2.8E-3"/>
    <n v="3.09"/>
    <n v="2.69"/>
    <x v="6"/>
    <n v="5.5999999999999999E-3"/>
    <x v="0"/>
  </r>
  <r>
    <x v="0"/>
    <x v="24"/>
    <n v="2.8E-3"/>
    <n v="3.09"/>
    <n v="2.69"/>
    <x v="6"/>
    <n v="5.5999999999999999E-3"/>
    <x v="0"/>
  </r>
  <r>
    <x v="0"/>
    <x v="24"/>
    <n v="2.8E-3"/>
    <n v="3.09"/>
    <n v="2.69"/>
    <x v="6"/>
    <n v="5.5999999999999999E-3"/>
    <x v="0"/>
  </r>
  <r>
    <x v="0"/>
    <x v="24"/>
    <n v="2.8E-3"/>
    <n v="3.13"/>
    <n v="2.73"/>
    <x v="6"/>
    <n v="5.5999999999999999E-3"/>
    <x v="0"/>
  </r>
  <r>
    <x v="0"/>
    <x v="24"/>
    <n v="2.8E-3"/>
    <n v="3.13"/>
    <n v="2.73"/>
    <x v="6"/>
    <n v="5.5999999999999999E-3"/>
    <x v="0"/>
  </r>
  <r>
    <x v="0"/>
    <x v="24"/>
    <n v="2.8E-3"/>
    <n v="3.13"/>
    <n v="2.73"/>
    <x v="6"/>
    <n v="5.5999999999999999E-3"/>
    <x v="0"/>
  </r>
  <r>
    <x v="0"/>
    <x v="24"/>
    <n v="2.8E-3"/>
    <n v="1.52"/>
    <n v="1.1200000000000001"/>
    <x v="2"/>
    <n v="2.8E-3"/>
    <x v="0"/>
  </r>
  <r>
    <x v="0"/>
    <x v="24"/>
    <n v="2.8E-3"/>
    <n v="1.52"/>
    <n v="1.1200000000000001"/>
    <x v="2"/>
    <n v="2.8E-3"/>
    <x v="0"/>
  </r>
  <r>
    <x v="0"/>
    <x v="24"/>
    <n v="2.8E-3"/>
    <n v="1.52"/>
    <n v="1.1200000000000001"/>
    <x v="2"/>
    <n v="2.8E-3"/>
    <x v="0"/>
  </r>
  <r>
    <x v="0"/>
    <x v="24"/>
    <n v="2.8E-3"/>
    <n v="2.04"/>
    <n v="1.6400000000000001"/>
    <x v="2"/>
    <n v="2.8E-3"/>
    <x v="0"/>
  </r>
  <r>
    <x v="0"/>
    <x v="24"/>
    <n v="2.8E-3"/>
    <n v="1.2250000000000001"/>
    <n v="0.82500000000000007"/>
    <x v="4"/>
    <n v="0"/>
    <x v="0"/>
  </r>
  <r>
    <x v="0"/>
    <x v="24"/>
    <n v="2.8E-3"/>
    <n v="1.4"/>
    <n v="0.99999999999999989"/>
    <x v="2"/>
    <n v="2.8E-3"/>
    <x v="0"/>
  </r>
  <r>
    <x v="0"/>
    <x v="24"/>
    <n v="2.8E-3"/>
    <n v="1.331"/>
    <n v="0.93099999999999994"/>
    <x v="4"/>
    <n v="0"/>
    <x v="0"/>
  </r>
  <r>
    <x v="0"/>
    <x v="19"/>
    <n v="8.5500000000000003E-3"/>
    <n v="8.67"/>
    <n v="8.27"/>
    <x v="11"/>
    <n v="6.8400000000000002E-2"/>
    <x v="0"/>
  </r>
  <r>
    <x v="0"/>
    <x v="19"/>
    <n v="8.5500000000000003E-3"/>
    <n v="8.67"/>
    <n v="8.27"/>
    <x v="11"/>
    <n v="6.8400000000000002E-2"/>
    <x v="0"/>
  </r>
  <r>
    <x v="1"/>
    <x v="5"/>
    <n v="8.5500000000000003E-3"/>
    <n v="4.8099999999999996"/>
    <n v="4.4099999999999993"/>
    <x v="3"/>
    <n v="3.4200000000000001E-2"/>
    <x v="0"/>
  </r>
  <r>
    <x v="1"/>
    <x v="5"/>
    <n v="8.5500000000000003E-3"/>
    <n v="7.5"/>
    <n v="7.1"/>
    <x v="0"/>
    <n v="5.985E-2"/>
    <x v="0"/>
  </r>
  <r>
    <x v="1"/>
    <x v="5"/>
    <n v="8.5500000000000003E-3"/>
    <n v="1.33"/>
    <n v="0.93"/>
    <x v="4"/>
    <n v="0"/>
    <x v="0"/>
  </r>
  <r>
    <x v="1"/>
    <x v="5"/>
    <n v="8.5500000000000003E-3"/>
    <n v="3.4550000000000001"/>
    <n v="3.0550000000000002"/>
    <x v="1"/>
    <n v="2.5649999999999999E-2"/>
    <x v="0"/>
  </r>
  <r>
    <x v="1"/>
    <x v="5"/>
    <n v="8.5500000000000003E-3"/>
    <n v="7.5"/>
    <n v="7.1"/>
    <x v="0"/>
    <n v="5.985E-2"/>
    <x v="0"/>
  </r>
  <r>
    <x v="1"/>
    <x v="5"/>
    <n v="8.5500000000000003E-3"/>
    <n v="3.4566669999999999"/>
    <n v="3.056667"/>
    <x v="1"/>
    <n v="2.5649999999999999E-2"/>
    <x v="0"/>
  </r>
  <r>
    <x v="1"/>
    <x v="5"/>
    <n v="8.5500000000000003E-3"/>
    <n v="2.87"/>
    <n v="2.4700000000000002"/>
    <x v="6"/>
    <n v="1.7100000000000001E-2"/>
    <x v="0"/>
  </r>
  <r>
    <x v="1"/>
    <x v="5"/>
    <n v="8.5500000000000003E-3"/>
    <n v="4.63"/>
    <n v="4.2299999999999995"/>
    <x v="3"/>
    <n v="3.4200000000000001E-2"/>
    <x v="0"/>
  </r>
  <r>
    <x v="0"/>
    <x v="68"/>
    <n v="3.82E-3"/>
    <n v="2.31"/>
    <n v="1.9100000000000001"/>
    <x v="2"/>
    <n v="3.82E-3"/>
    <x v="0"/>
  </r>
  <r>
    <x v="0"/>
    <x v="68"/>
    <n v="3.82E-3"/>
    <n v="2.31"/>
    <n v="1.9100000000000001"/>
    <x v="2"/>
    <n v="3.82E-3"/>
    <x v="0"/>
  </r>
  <r>
    <x v="0"/>
    <x v="46"/>
    <n v="3.6099999999999999E-3"/>
    <n v="3.52"/>
    <n v="3.12"/>
    <x v="1"/>
    <n v="1.0829999999999999E-2"/>
    <x v="0"/>
  </r>
  <r>
    <x v="0"/>
    <x v="46"/>
    <n v="3.6099999999999999E-3"/>
    <n v="3.52"/>
    <n v="3.12"/>
    <x v="1"/>
    <n v="1.0829999999999999E-2"/>
    <x v="0"/>
  </r>
  <r>
    <x v="0"/>
    <x v="75"/>
    <n v="2.0300000000000001E-3"/>
    <n v="1.49"/>
    <n v="1.0899999999999999"/>
    <x v="2"/>
    <n v="2.0300000000000001E-3"/>
    <x v="1"/>
  </r>
  <r>
    <x v="0"/>
    <x v="75"/>
    <n v="2.0300000000000001E-3"/>
    <n v="1.49"/>
    <n v="1.0899999999999999"/>
    <x v="2"/>
    <n v="2.0300000000000001E-3"/>
    <x v="1"/>
  </r>
  <r>
    <x v="1"/>
    <x v="5"/>
    <n v="8.5500000000000003E-3"/>
    <n v="3.11"/>
    <n v="2.71"/>
    <x v="6"/>
    <n v="1.7100000000000001E-2"/>
    <x v="0"/>
  </r>
  <r>
    <x v="1"/>
    <x v="5"/>
    <n v="8.5500000000000003E-3"/>
    <n v="3.11"/>
    <n v="2.71"/>
    <x v="6"/>
    <n v="1.7100000000000001E-2"/>
    <x v="0"/>
  </r>
  <r>
    <x v="0"/>
    <x v="0"/>
    <n v="9.4500000000000001E-3"/>
    <n v="4.7329999999999997"/>
    <n v="4.3329999999999993"/>
    <x v="3"/>
    <n v="3.78E-2"/>
    <x v="0"/>
  </r>
  <r>
    <x v="0"/>
    <x v="8"/>
    <n v="5.3400000000000001E-3"/>
    <n v="4.3819999999999997"/>
    <n v="3.9819999999999998"/>
    <x v="1"/>
    <n v="1.602E-2"/>
    <x v="0"/>
  </r>
  <r>
    <x v="0"/>
    <x v="24"/>
    <n v="2.8E-3"/>
    <n v="4.3819999999999997"/>
    <n v="3.9819999999999998"/>
    <x v="1"/>
    <n v="8.3999999999999995E-3"/>
    <x v="0"/>
  </r>
  <r>
    <x v="0"/>
    <x v="36"/>
    <n v="6.4900000000000001E-3"/>
    <n v="4.3819999999999997"/>
    <n v="3.9819999999999998"/>
    <x v="1"/>
    <n v="1.9470000000000001E-2"/>
    <x v="0"/>
  </r>
  <r>
    <x v="0"/>
    <x v="14"/>
    <n v="5.13E-3"/>
    <n v="4.3819999999999997"/>
    <n v="3.9819999999999998"/>
    <x v="1"/>
    <n v="1.5390000000000001E-2"/>
    <x v="1"/>
  </r>
  <r>
    <x v="0"/>
    <x v="14"/>
    <n v="5.13E-3"/>
    <n v="4.3819999999999997"/>
    <n v="3.9819999999999998"/>
    <x v="1"/>
    <n v="1.5390000000000001E-2"/>
    <x v="1"/>
  </r>
  <r>
    <x v="0"/>
    <x v="49"/>
    <n v="3.16E-3"/>
    <n v="4.3819999999999997"/>
    <n v="3.9819999999999998"/>
    <x v="1"/>
    <n v="9.4800000000000006E-3"/>
    <x v="0"/>
  </r>
  <r>
    <x v="0"/>
    <x v="10"/>
    <n v="7.26E-3"/>
    <n v="4.3819999999999997"/>
    <n v="3.9819999999999998"/>
    <x v="1"/>
    <n v="2.1780000000000001E-2"/>
    <x v="0"/>
  </r>
  <r>
    <x v="0"/>
    <x v="35"/>
    <n v="1.0500000000000001E-2"/>
    <n v="3.75"/>
    <n v="3.35"/>
    <x v="1"/>
    <n v="3.15E-2"/>
    <x v="0"/>
  </r>
  <r>
    <x v="0"/>
    <x v="23"/>
    <n v="6.6600000000000001E-3"/>
    <n v="3.75"/>
    <n v="3.35"/>
    <x v="1"/>
    <n v="1.9980000000000001E-2"/>
    <x v="0"/>
  </r>
  <r>
    <x v="0"/>
    <x v="23"/>
    <n v="6.6600000000000001E-3"/>
    <n v="3.75"/>
    <n v="3.35"/>
    <x v="1"/>
    <n v="1.9980000000000001E-2"/>
    <x v="0"/>
  </r>
  <r>
    <x v="0"/>
    <x v="35"/>
    <n v="1.0500000000000001E-2"/>
    <n v="3.75"/>
    <n v="3.35"/>
    <x v="1"/>
    <n v="3.15E-2"/>
    <x v="0"/>
  </r>
  <r>
    <x v="0"/>
    <x v="23"/>
    <n v="6.6600000000000001E-3"/>
    <n v="3.75"/>
    <n v="3.35"/>
    <x v="1"/>
    <n v="1.9980000000000001E-2"/>
    <x v="0"/>
  </r>
  <r>
    <x v="0"/>
    <x v="23"/>
    <n v="6.6600000000000001E-3"/>
    <n v="3.75"/>
    <n v="3.35"/>
    <x v="1"/>
    <n v="1.9980000000000001E-2"/>
    <x v="0"/>
  </r>
  <r>
    <x v="0"/>
    <x v="24"/>
    <n v="2.8E-3"/>
    <n v="3.75"/>
    <n v="3.35"/>
    <x v="1"/>
    <n v="8.3999999999999995E-3"/>
    <x v="0"/>
  </r>
  <r>
    <x v="0"/>
    <x v="40"/>
    <n v="4.1799999999999997E-3"/>
    <n v="3.75"/>
    <n v="3.35"/>
    <x v="1"/>
    <n v="1.2539999999999999E-2"/>
    <x v="0"/>
  </r>
  <r>
    <x v="0"/>
    <x v="40"/>
    <n v="4.1799999999999997E-3"/>
    <n v="3.75"/>
    <n v="3.35"/>
    <x v="1"/>
    <n v="1.2539999999999999E-2"/>
    <x v="0"/>
  </r>
  <r>
    <x v="0"/>
    <x v="24"/>
    <n v="2.8E-3"/>
    <n v="3"/>
    <n v="2.6"/>
    <x v="6"/>
    <n v="5.5999999999999999E-3"/>
    <x v="0"/>
  </r>
  <r>
    <x v="0"/>
    <x v="24"/>
    <n v="2.8E-3"/>
    <n v="3"/>
    <n v="2.6"/>
    <x v="6"/>
    <n v="5.5999999999999999E-3"/>
    <x v="0"/>
  </r>
  <r>
    <x v="0"/>
    <x v="24"/>
    <n v="2.8E-3"/>
    <n v="3"/>
    <n v="2.6"/>
    <x v="6"/>
    <n v="5.5999999999999999E-3"/>
    <x v="0"/>
  </r>
  <r>
    <x v="0"/>
    <x v="49"/>
    <n v="3.16E-3"/>
    <n v="3"/>
    <n v="2.6"/>
    <x v="6"/>
    <n v="6.3200000000000001E-3"/>
    <x v="0"/>
  </r>
  <r>
    <x v="3"/>
    <x v="76"/>
    <n v="1.3599999999999999E-2"/>
    <n v="3"/>
    <n v="2.6"/>
    <x v="6"/>
    <n v="2.7199999999999998E-2"/>
    <x v="0"/>
  </r>
  <r>
    <x v="0"/>
    <x v="24"/>
    <n v="2.8E-3"/>
    <n v="3"/>
    <n v="2.6"/>
    <x v="6"/>
    <n v="5.5999999999999999E-3"/>
    <x v="0"/>
  </r>
  <r>
    <x v="0"/>
    <x v="24"/>
    <n v="2.8E-3"/>
    <n v="3"/>
    <n v="2.6"/>
    <x v="6"/>
    <n v="5.5999999999999999E-3"/>
    <x v="0"/>
  </r>
  <r>
    <x v="0"/>
    <x v="8"/>
    <n v="5.3400000000000001E-3"/>
    <n v="3"/>
    <n v="2.6"/>
    <x v="6"/>
    <n v="1.068E-2"/>
    <x v="0"/>
  </r>
  <r>
    <x v="0"/>
    <x v="49"/>
    <n v="3.16E-3"/>
    <n v="7.5"/>
    <n v="7.1"/>
    <x v="0"/>
    <n v="2.2120000000000001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3"/>
    <n v="6.6600000000000001E-3"/>
    <n v="7.1"/>
    <n v="6.6999999999999993"/>
    <x v="5"/>
    <n v="3.9960000000000002E-2"/>
    <x v="0"/>
  </r>
  <r>
    <x v="0"/>
    <x v="77"/>
    <n v="1.3899999999999999E-2"/>
    <n v="7.5"/>
    <n v="7.1"/>
    <x v="0"/>
    <n v="9.7299999999999998E-2"/>
    <x v="1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50"/>
    <n v="5.8599999999999998E-3"/>
    <n v="7.5"/>
    <n v="7.1"/>
    <x v="0"/>
    <n v="4.1020000000000001E-2"/>
    <x v="0"/>
  </r>
  <r>
    <x v="0"/>
    <x v="43"/>
    <n v="4.2100000000000002E-3"/>
    <n v="5.5"/>
    <n v="5.0999999999999996"/>
    <x v="7"/>
    <n v="2.1049999999999999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49"/>
    <n v="3.16E-3"/>
    <n v="5.5"/>
    <n v="5.0999999999999996"/>
    <x v="7"/>
    <n v="1.5800000000000002E-2"/>
    <x v="0"/>
  </r>
  <r>
    <x v="0"/>
    <x v="23"/>
    <n v="6.6600000000000001E-3"/>
    <n v="7.5"/>
    <n v="7.1"/>
    <x v="0"/>
    <n v="4.6620000000000002E-2"/>
    <x v="0"/>
  </r>
  <r>
    <x v="0"/>
    <x v="78"/>
    <n v="1.8700000000000001E-2"/>
    <n v="7.5"/>
    <n v="7.1"/>
    <x v="0"/>
    <n v="0.13090000000000002"/>
    <x v="1"/>
  </r>
  <r>
    <x v="0"/>
    <x v="29"/>
    <n v="1.5900000000000001E-2"/>
    <n v="7.5"/>
    <n v="7.1"/>
    <x v="0"/>
    <n v="0.11130000000000001"/>
    <x v="0"/>
  </r>
  <r>
    <x v="0"/>
    <x v="50"/>
    <n v="5.8599999999999998E-3"/>
    <n v="3.75"/>
    <n v="3.35"/>
    <x v="1"/>
    <n v="1.7579999999999998E-2"/>
    <x v="0"/>
  </r>
  <r>
    <x v="0"/>
    <x v="46"/>
    <n v="3.6099999999999999E-3"/>
    <n v="3.75"/>
    <n v="3.35"/>
    <x v="1"/>
    <n v="1.082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79"/>
    <n v="1.04E-2"/>
    <n v="7.5"/>
    <n v="7.1"/>
    <x v="0"/>
    <n v="7.2800000000000004E-2"/>
    <x v="0"/>
  </r>
  <r>
    <x v="0"/>
    <x v="44"/>
    <n v="1.0500000000000001E-2"/>
    <n v="7.5"/>
    <n v="7.1"/>
    <x v="0"/>
    <n v="7.350000000000001E-2"/>
    <x v="0"/>
  </r>
  <r>
    <x v="0"/>
    <x v="8"/>
    <n v="5.3400000000000001E-3"/>
    <n v="3.52"/>
    <n v="3.12"/>
    <x v="1"/>
    <n v="1.602E-2"/>
    <x v="0"/>
  </r>
  <r>
    <x v="0"/>
    <x v="24"/>
    <n v="2.8E-3"/>
    <n v="3.0350000000000001"/>
    <n v="2.6350000000000002"/>
    <x v="6"/>
    <n v="5.5999999999999999E-3"/>
    <x v="0"/>
  </r>
  <r>
    <x v="0"/>
    <x v="8"/>
    <n v="5.3400000000000001E-3"/>
    <n v="3.52"/>
    <n v="3.12"/>
    <x v="1"/>
    <n v="1.602E-2"/>
    <x v="0"/>
  </r>
  <r>
    <x v="0"/>
    <x v="24"/>
    <n v="2.8E-3"/>
    <n v="3.6963940000000002"/>
    <n v="3.2963940000000003"/>
    <x v="1"/>
    <n v="8.3999999999999995E-3"/>
    <x v="0"/>
  </r>
  <r>
    <x v="0"/>
    <x v="24"/>
    <n v="2.8E-3"/>
    <n v="3.5329999999999999"/>
    <n v="3.133"/>
    <x v="1"/>
    <n v="8.3999999999999995E-3"/>
    <x v="0"/>
  </r>
  <r>
    <x v="0"/>
    <x v="40"/>
    <n v="4.1799999999999997E-3"/>
    <n v="4.6890390000000002"/>
    <n v="4.2890389999999998"/>
    <x v="3"/>
    <n v="1.6719999999999999E-2"/>
    <x v="0"/>
  </r>
  <r>
    <x v="0"/>
    <x v="24"/>
    <n v="2.8E-3"/>
    <n v="4.0549999999999997"/>
    <n v="3.6549999999999998"/>
    <x v="1"/>
    <n v="8.3999999999999995E-3"/>
    <x v="0"/>
  </r>
  <r>
    <x v="0"/>
    <x v="24"/>
    <n v="2.8E-3"/>
    <n v="4.0549999999999997"/>
    <n v="3.6549999999999998"/>
    <x v="1"/>
    <n v="8.3999999999999995E-3"/>
    <x v="0"/>
  </r>
  <r>
    <x v="0"/>
    <x v="24"/>
    <n v="2.8E-3"/>
    <n v="4.0549999999999997"/>
    <n v="3.6549999999999998"/>
    <x v="1"/>
    <n v="8.3999999999999995E-3"/>
    <x v="0"/>
  </r>
  <r>
    <x v="0"/>
    <x v="24"/>
    <n v="2.8E-3"/>
    <n v="2.3136640000000002"/>
    <n v="1.9136640000000003"/>
    <x v="2"/>
    <n v="2.8E-3"/>
    <x v="0"/>
  </r>
  <r>
    <x v="0"/>
    <x v="24"/>
    <n v="2.8E-3"/>
    <n v="2.8239999999999998"/>
    <n v="2.4239999999999999"/>
    <x v="6"/>
    <n v="5.5999999999999999E-3"/>
    <x v="0"/>
  </r>
  <r>
    <x v="0"/>
    <x v="24"/>
    <n v="2.8E-3"/>
    <n v="3.5129999999999999"/>
    <n v="3.113"/>
    <x v="1"/>
    <n v="8.3999999999999995E-3"/>
    <x v="0"/>
  </r>
  <r>
    <x v="0"/>
    <x v="46"/>
    <n v="3.6099999999999999E-3"/>
    <n v="4.8931649999999998"/>
    <n v="4.4931649999999994"/>
    <x v="3"/>
    <n v="1.444E-2"/>
    <x v="0"/>
  </r>
  <r>
    <x v="0"/>
    <x v="28"/>
    <n v="5.7299999999999999E-3"/>
    <n v="7.5"/>
    <n v="7.1"/>
    <x v="0"/>
    <n v="4.011E-2"/>
    <x v="0"/>
  </r>
  <r>
    <x v="0"/>
    <x v="24"/>
    <n v="2.8E-3"/>
    <n v="0.97"/>
    <n v="0.56999999999999995"/>
    <x v="4"/>
    <n v="0"/>
    <x v="0"/>
  </r>
  <r>
    <x v="0"/>
    <x v="24"/>
    <n v="2.8E-3"/>
    <n v="2.08"/>
    <n v="1.6800000000000002"/>
    <x v="2"/>
    <n v="2.8E-3"/>
    <x v="0"/>
  </r>
  <r>
    <x v="0"/>
    <x v="24"/>
    <n v="2.8E-3"/>
    <n v="3.39"/>
    <n v="2.99"/>
    <x v="6"/>
    <n v="5.5999999999999999E-3"/>
    <x v="0"/>
  </r>
  <r>
    <x v="0"/>
    <x v="24"/>
    <n v="2.8E-3"/>
    <n v="3.39"/>
    <n v="2.99"/>
    <x v="6"/>
    <n v="5.5999999999999999E-3"/>
    <x v="0"/>
  </r>
  <r>
    <x v="0"/>
    <x v="24"/>
    <n v="2.8E-3"/>
    <n v="4.4400000000000004"/>
    <n v="4.04"/>
    <x v="3"/>
    <n v="1.12E-2"/>
    <x v="0"/>
  </r>
  <r>
    <x v="0"/>
    <x v="24"/>
    <n v="2.8E-3"/>
    <n v="4.4400000000000004"/>
    <n v="4.04"/>
    <x v="3"/>
    <n v="1.12E-2"/>
    <x v="0"/>
  </r>
  <r>
    <x v="0"/>
    <x v="10"/>
    <n v="7.26E-3"/>
    <n v="5.983409"/>
    <n v="5.5834089999999996"/>
    <x v="7"/>
    <n v="3.6299999999999999E-2"/>
    <x v="0"/>
  </r>
  <r>
    <x v="0"/>
    <x v="39"/>
    <n v="3.2000000000000002E-3"/>
    <n v="5.4720000000000004"/>
    <n v="5.0720000000000001"/>
    <x v="7"/>
    <n v="1.6E-2"/>
    <x v="0"/>
  </r>
  <r>
    <x v="0"/>
    <x v="24"/>
    <n v="2.8E-3"/>
    <n v="5.4720000000000004"/>
    <n v="5.0720000000000001"/>
    <x v="7"/>
    <n v="1.4E-2"/>
    <x v="0"/>
  </r>
  <r>
    <x v="0"/>
    <x v="24"/>
    <n v="2.8E-3"/>
    <n v="5.4720000000000004"/>
    <n v="5.0720000000000001"/>
    <x v="7"/>
    <n v="1.4E-2"/>
    <x v="0"/>
  </r>
  <r>
    <x v="0"/>
    <x v="24"/>
    <n v="2.8E-3"/>
    <n v="5.4720000000000004"/>
    <n v="5.0720000000000001"/>
    <x v="7"/>
    <n v="1.4E-2"/>
    <x v="0"/>
  </r>
  <r>
    <x v="0"/>
    <x v="11"/>
    <n v="4.7200000000000002E-3"/>
    <n v="5.4720000000000004"/>
    <n v="5.0720000000000001"/>
    <x v="7"/>
    <n v="2.3600000000000003E-2"/>
    <x v="1"/>
  </r>
  <r>
    <x v="0"/>
    <x v="11"/>
    <n v="4.7200000000000002E-3"/>
    <n v="5.4720000000000004"/>
    <n v="5.0720000000000001"/>
    <x v="7"/>
    <n v="2.3600000000000003E-2"/>
    <x v="1"/>
  </r>
  <r>
    <x v="0"/>
    <x v="67"/>
    <n v="1.29E-2"/>
    <n v="7.5"/>
    <n v="7.1"/>
    <x v="0"/>
    <n v="9.0300000000000005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8"/>
    <n v="7.62E-3"/>
    <n v="7.5"/>
    <n v="7.1"/>
    <x v="0"/>
    <n v="5.3339999999999999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1"/>
    <n v="4.9800000000000001E-3"/>
    <n v="7.5"/>
    <n v="7.1"/>
    <x v="0"/>
    <n v="3.4860000000000002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6.375"/>
    <n v="5.9749999999999996"/>
    <x v="7"/>
    <n v="1.4E-2"/>
    <x v="0"/>
  </r>
  <r>
    <x v="0"/>
    <x v="45"/>
    <n v="9.4500000000000001E-3"/>
    <n v="7.5"/>
    <n v="7.1"/>
    <x v="0"/>
    <n v="6.615E-2"/>
    <x v="0"/>
  </r>
  <r>
    <x v="0"/>
    <x v="29"/>
    <n v="1.5900000000000001E-2"/>
    <n v="7.5"/>
    <n v="7.1"/>
    <x v="0"/>
    <n v="0.11130000000000001"/>
    <x v="0"/>
  </r>
  <r>
    <x v="0"/>
    <x v="24"/>
    <n v="2.8E-3"/>
    <n v="2.2149999999999999"/>
    <n v="1.8149999999999999"/>
    <x v="2"/>
    <n v="2.8E-3"/>
    <x v="0"/>
  </r>
  <r>
    <x v="0"/>
    <x v="40"/>
    <n v="4.1799999999999997E-3"/>
    <n v="5.4720000000000004"/>
    <n v="5.0720000000000001"/>
    <x v="7"/>
    <n v="2.0899999999999998E-2"/>
    <x v="0"/>
  </r>
  <r>
    <x v="0"/>
    <x v="40"/>
    <n v="4.1799999999999997E-3"/>
    <n v="5.4720000000000004"/>
    <n v="5.0720000000000001"/>
    <x v="7"/>
    <n v="2.0899999999999998E-2"/>
    <x v="0"/>
  </r>
  <r>
    <x v="3"/>
    <x v="80"/>
    <n v="3.0599999999999999E-2"/>
    <n v="7.5"/>
    <n v="7.1"/>
    <x v="0"/>
    <n v="0.2142"/>
    <x v="0"/>
  </r>
  <r>
    <x v="3"/>
    <x v="81"/>
    <n v="2.01E-2"/>
    <n v="7.5"/>
    <n v="7.1"/>
    <x v="0"/>
    <n v="0.14069999999999999"/>
    <x v="0"/>
  </r>
  <r>
    <x v="0"/>
    <x v="33"/>
    <n v="1.29E-2"/>
    <n v="7.5"/>
    <n v="7.1"/>
    <x v="0"/>
    <n v="9.0300000000000005E-2"/>
    <x v="0"/>
  </r>
  <r>
    <x v="0"/>
    <x v="50"/>
    <n v="5.8599999999999998E-3"/>
    <n v="7.5"/>
    <n v="7.1"/>
    <x v="0"/>
    <n v="4.1020000000000001E-2"/>
    <x v="0"/>
  </r>
  <r>
    <x v="0"/>
    <x v="35"/>
    <n v="1.0500000000000001E-2"/>
    <n v="7.5"/>
    <n v="7.1"/>
    <x v="0"/>
    <n v="7.3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82"/>
    <n v="1.5900000000000001E-2"/>
    <n v="9.7949999999999999"/>
    <n v="9.3949999999999996"/>
    <x v="9"/>
    <n v="0.1431"/>
    <x v="0"/>
  </r>
  <r>
    <x v="0"/>
    <x v="24"/>
    <n v="2.8E-3"/>
    <n v="2.2149999999999999"/>
    <n v="1.8149999999999999"/>
    <x v="2"/>
    <n v="2.8E-3"/>
    <x v="0"/>
  </r>
  <r>
    <x v="0"/>
    <x v="79"/>
    <n v="1.04E-2"/>
    <n v="8.67"/>
    <n v="8.27"/>
    <x v="11"/>
    <n v="8.3199999999999996E-2"/>
    <x v="0"/>
  </r>
  <r>
    <x v="0"/>
    <x v="12"/>
    <n v="5.8700000000000002E-3"/>
    <n v="8.67"/>
    <n v="8.27"/>
    <x v="11"/>
    <n v="4.6960000000000002E-2"/>
    <x v="0"/>
  </r>
  <r>
    <x v="0"/>
    <x v="24"/>
    <n v="2.8E-3"/>
    <n v="1.125"/>
    <n v="0.72499999999999998"/>
    <x v="4"/>
    <n v="0"/>
    <x v="0"/>
  </r>
  <r>
    <x v="0"/>
    <x v="24"/>
    <n v="2.8E-3"/>
    <n v="0.54500000000000004"/>
    <n v="0.14500000000000002"/>
    <x v="4"/>
    <n v="0"/>
    <x v="0"/>
  </r>
  <r>
    <x v="0"/>
    <x v="24"/>
    <n v="2.8E-3"/>
    <n v="0.54500000000000004"/>
    <n v="0.14500000000000002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37"/>
    <n v="3.5899999999999999E-3"/>
    <n v="5.94"/>
    <n v="5.54"/>
    <x v="7"/>
    <n v="1.7950000000000001E-2"/>
    <x v="0"/>
  </r>
  <r>
    <x v="0"/>
    <x v="37"/>
    <n v="3.5899999999999999E-3"/>
    <n v="6.04"/>
    <n v="5.64"/>
    <x v="7"/>
    <n v="1.7950000000000001E-2"/>
    <x v="0"/>
  </r>
  <r>
    <x v="0"/>
    <x v="67"/>
    <n v="1.29E-2"/>
    <n v="5.94"/>
    <n v="5.54"/>
    <x v="7"/>
    <n v="6.4500000000000002E-2"/>
    <x v="0"/>
  </r>
  <r>
    <x v="0"/>
    <x v="24"/>
    <n v="2.8E-3"/>
    <n v="1.46"/>
    <n v="1.06"/>
    <x v="2"/>
    <n v="2.8E-3"/>
    <x v="0"/>
  </r>
  <r>
    <x v="0"/>
    <x v="24"/>
    <n v="2.8E-3"/>
    <n v="1.46"/>
    <n v="1.06"/>
    <x v="2"/>
    <n v="2.8E-3"/>
    <x v="0"/>
  </r>
  <r>
    <x v="0"/>
    <x v="56"/>
    <n v="1.44E-2"/>
    <n v="8.67"/>
    <n v="8.27"/>
    <x v="11"/>
    <n v="0.1152"/>
    <x v="1"/>
  </r>
  <r>
    <x v="0"/>
    <x v="44"/>
    <n v="1.0500000000000001E-2"/>
    <n v="8.67"/>
    <n v="8.27"/>
    <x v="11"/>
    <n v="8.4000000000000005E-2"/>
    <x v="0"/>
  </r>
  <r>
    <x v="0"/>
    <x v="56"/>
    <n v="1.44E-2"/>
    <n v="8.67"/>
    <n v="8.27"/>
    <x v="11"/>
    <n v="0.1152"/>
    <x v="1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65"/>
    <n v="3.25"/>
    <x v="1"/>
    <n v="8.3999999999999995E-3"/>
    <x v="0"/>
  </r>
  <r>
    <x v="0"/>
    <x v="40"/>
    <n v="4.1799999999999997E-3"/>
    <n v="2.028"/>
    <n v="1.6280000000000001"/>
    <x v="2"/>
    <n v="4.1799999999999997E-3"/>
    <x v="0"/>
  </r>
  <r>
    <x v="3"/>
    <x v="83"/>
    <n v="1.4999999999999999E-2"/>
    <n v="7.5"/>
    <n v="7.1"/>
    <x v="0"/>
    <n v="0.105"/>
    <x v="0"/>
  </r>
  <r>
    <x v="0"/>
    <x v="24"/>
    <n v="2.8E-3"/>
    <n v="2.028"/>
    <n v="1.6280000000000001"/>
    <x v="2"/>
    <n v="2.8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5"/>
    <n v="1.0500000000000001E-2"/>
    <n v="7.5"/>
    <n v="7.1"/>
    <x v="0"/>
    <n v="7.350000000000001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71"/>
    <n v="8.5500000000000003E-3"/>
    <n v="7.5"/>
    <n v="7.1"/>
    <x v="0"/>
    <n v="5.985E-2"/>
    <x v="0"/>
  </r>
  <r>
    <x v="0"/>
    <x v="35"/>
    <n v="1.0500000000000001E-2"/>
    <n v="7.5"/>
    <n v="7.1"/>
    <x v="0"/>
    <n v="7.350000000000001E-2"/>
    <x v="0"/>
  </r>
  <r>
    <x v="0"/>
    <x v="77"/>
    <n v="1.3899999999999999E-2"/>
    <n v="7.5"/>
    <n v="7.1"/>
    <x v="0"/>
    <n v="9.7299999999999998E-2"/>
    <x v="1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6419999999999999"/>
    <n v="3.242"/>
    <x v="1"/>
    <n v="1.0829999999999999E-2"/>
    <x v="0"/>
  </r>
  <r>
    <x v="0"/>
    <x v="46"/>
    <n v="3.6099999999999999E-3"/>
    <n v="3.6419999999999999"/>
    <n v="3.242"/>
    <x v="1"/>
    <n v="1.0829999999999999E-2"/>
    <x v="0"/>
  </r>
  <r>
    <x v="0"/>
    <x v="46"/>
    <n v="3.6099999999999999E-3"/>
    <n v="3.6419999999999999"/>
    <n v="3.242"/>
    <x v="1"/>
    <n v="1.0829999999999999E-2"/>
    <x v="0"/>
  </r>
  <r>
    <x v="0"/>
    <x v="46"/>
    <n v="3.6099999999999999E-3"/>
    <n v="3.6419999999999999"/>
    <n v="3.242"/>
    <x v="1"/>
    <n v="1.0829999999999999E-2"/>
    <x v="0"/>
  </r>
  <r>
    <x v="0"/>
    <x v="28"/>
    <n v="5.7299999999999999E-3"/>
    <n v="3.6419999999999999"/>
    <n v="3.242"/>
    <x v="1"/>
    <n v="1.719E-2"/>
    <x v="0"/>
  </r>
  <r>
    <x v="0"/>
    <x v="28"/>
    <n v="5.7299999999999999E-3"/>
    <n v="3.6419999999999999"/>
    <n v="3.242"/>
    <x v="1"/>
    <n v="1.719E-2"/>
    <x v="0"/>
  </r>
  <r>
    <x v="0"/>
    <x v="46"/>
    <n v="3.6099999999999999E-3"/>
    <n v="3.6419999999999999"/>
    <n v="3.242"/>
    <x v="1"/>
    <n v="1.0829999999999999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24"/>
    <n v="2.8E-3"/>
    <n v="6.33"/>
    <n v="5.93"/>
    <x v="7"/>
    <n v="1.4E-2"/>
    <x v="0"/>
  </r>
  <r>
    <x v="0"/>
    <x v="67"/>
    <n v="1.29E-2"/>
    <n v="5.94"/>
    <n v="5.54"/>
    <x v="7"/>
    <n v="6.4500000000000002E-2"/>
    <x v="0"/>
  </r>
  <r>
    <x v="0"/>
    <x v="36"/>
    <n v="6.4900000000000001E-3"/>
    <n v="5.94"/>
    <n v="5.54"/>
    <x v="7"/>
    <n v="3.245E-2"/>
    <x v="0"/>
  </r>
  <r>
    <x v="0"/>
    <x v="48"/>
    <n v="7.62E-3"/>
    <n v="5.94"/>
    <n v="5.54"/>
    <x v="7"/>
    <n v="3.8100000000000002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39"/>
    <n v="3.2000000000000002E-3"/>
    <n v="4.085"/>
    <n v="3.6850000000000001"/>
    <x v="1"/>
    <n v="9.6000000000000009E-3"/>
    <x v="0"/>
  </r>
  <r>
    <x v="0"/>
    <x v="24"/>
    <n v="2.8E-3"/>
    <n v="2.2999999999999998"/>
    <n v="1.9"/>
    <x v="2"/>
    <n v="2.8E-3"/>
    <x v="0"/>
  </r>
  <r>
    <x v="0"/>
    <x v="24"/>
    <n v="2.8E-3"/>
    <n v="1.75"/>
    <n v="1.35"/>
    <x v="2"/>
    <n v="2.8E-3"/>
    <x v="0"/>
  </r>
  <r>
    <x v="0"/>
    <x v="24"/>
    <n v="2.8E-3"/>
    <n v="1.75"/>
    <n v="1.35"/>
    <x v="2"/>
    <n v="2.8E-3"/>
    <x v="0"/>
  </r>
  <r>
    <x v="0"/>
    <x v="24"/>
    <n v="2.8E-3"/>
    <n v="4"/>
    <n v="3.6"/>
    <x v="1"/>
    <n v="8.3999999999999995E-3"/>
    <x v="0"/>
  </r>
  <r>
    <x v="0"/>
    <x v="24"/>
    <n v="2.8E-3"/>
    <n v="4"/>
    <n v="3.6"/>
    <x v="1"/>
    <n v="8.3999999999999995E-3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40"/>
    <n v="4.1799999999999997E-3"/>
    <n v="1.63"/>
    <n v="1.23"/>
    <x v="2"/>
    <n v="4.1799999999999997E-3"/>
    <x v="0"/>
  </r>
  <r>
    <x v="0"/>
    <x v="40"/>
    <n v="4.1799999999999997E-3"/>
    <n v="4.1500000000000004"/>
    <n v="3.7500000000000004"/>
    <x v="1"/>
    <n v="1.2539999999999999E-2"/>
    <x v="0"/>
  </r>
  <r>
    <x v="0"/>
    <x v="40"/>
    <n v="4.1799999999999997E-3"/>
    <n v="1.63"/>
    <n v="1.23"/>
    <x v="2"/>
    <n v="4.1799999999999997E-3"/>
    <x v="0"/>
  </r>
  <r>
    <x v="0"/>
    <x v="40"/>
    <n v="4.1799999999999997E-3"/>
    <n v="4.1500000000000004"/>
    <n v="3.7500000000000004"/>
    <x v="1"/>
    <n v="1.2539999999999999E-2"/>
    <x v="0"/>
  </r>
  <r>
    <x v="0"/>
    <x v="24"/>
    <n v="2.8E-3"/>
    <n v="1.63"/>
    <n v="1.23"/>
    <x v="2"/>
    <n v="2.8E-3"/>
    <x v="0"/>
  </r>
  <r>
    <x v="0"/>
    <x v="24"/>
    <n v="2.8E-3"/>
    <n v="1.72"/>
    <n v="1.3199999999999998"/>
    <x v="2"/>
    <n v="2.8E-3"/>
    <x v="0"/>
  </r>
  <r>
    <x v="0"/>
    <x v="24"/>
    <n v="2.8E-3"/>
    <n v="2.0150000000000001"/>
    <n v="1.6150000000000002"/>
    <x v="2"/>
    <n v="2.8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1.0649999999999999"/>
    <n v="0.66499999999999992"/>
    <x v="4"/>
    <n v="0"/>
    <x v="0"/>
  </r>
  <r>
    <x v="0"/>
    <x v="28"/>
    <n v="5.7299999999999999E-3"/>
    <n v="5.5"/>
    <n v="5.0999999999999996"/>
    <x v="7"/>
    <n v="2.8649999999999998E-2"/>
    <x v="0"/>
  </r>
  <r>
    <x v="0"/>
    <x v="24"/>
    <n v="2.8E-3"/>
    <n v="1.5549999999999999"/>
    <n v="1.1549999999999998"/>
    <x v="2"/>
    <n v="2.8E-3"/>
    <x v="0"/>
  </r>
  <r>
    <x v="0"/>
    <x v="49"/>
    <n v="3.16E-3"/>
    <n v="7.5"/>
    <n v="7.1"/>
    <x v="0"/>
    <n v="2.2120000000000001E-2"/>
    <x v="0"/>
  </r>
  <r>
    <x v="0"/>
    <x v="37"/>
    <n v="3.5899999999999999E-3"/>
    <n v="7.5"/>
    <n v="7.1"/>
    <x v="0"/>
    <n v="2.513E-2"/>
    <x v="0"/>
  </r>
  <r>
    <x v="0"/>
    <x v="1"/>
    <n v="6.1199999999999996E-3"/>
    <n v="3.92"/>
    <n v="3.52"/>
    <x v="1"/>
    <n v="1.8359999999999998E-2"/>
    <x v="0"/>
  </r>
  <r>
    <x v="0"/>
    <x v="24"/>
    <n v="2.8E-3"/>
    <n v="2.21685"/>
    <n v="1.8168500000000001"/>
    <x v="2"/>
    <n v="2.8E-3"/>
    <x v="0"/>
  </r>
  <r>
    <x v="0"/>
    <x v="24"/>
    <n v="2.8E-3"/>
    <n v="1.5549999999999999"/>
    <n v="1.1549999999999998"/>
    <x v="2"/>
    <n v="2.8E-3"/>
    <x v="0"/>
  </r>
  <r>
    <x v="0"/>
    <x v="24"/>
    <n v="2.8E-3"/>
    <n v="2.12"/>
    <n v="1.7200000000000002"/>
    <x v="2"/>
    <n v="2.8E-3"/>
    <x v="0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3"/>
    <x v="84"/>
    <n v="1.23E-2"/>
    <n v="7.5"/>
    <n v="7.1"/>
    <x v="0"/>
    <n v="8.6099999999999996E-2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8"/>
    <n v="5.7299999999999999E-3"/>
    <n v="5"/>
    <n v="4.5999999999999996"/>
    <x v="3"/>
    <n v="2.2919999999999999E-2"/>
    <x v="0"/>
  </r>
  <r>
    <x v="0"/>
    <x v="28"/>
    <n v="5.7299999999999999E-3"/>
    <n v="2.5"/>
    <n v="2.1"/>
    <x v="6"/>
    <n v="1.146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2"/>
    <x v="85"/>
    <n v="7.2499999999999995E-2"/>
    <n v="7.415"/>
    <n v="7.0149999999999997"/>
    <x v="0"/>
    <n v="0.50749999999999995"/>
    <x v="1"/>
  </r>
  <r>
    <x v="0"/>
    <x v="34"/>
    <n v="8.5599999999999999E-3"/>
    <n v="7.5"/>
    <n v="7.1"/>
    <x v="0"/>
    <n v="5.9920000000000001E-2"/>
    <x v="0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0"/>
    <x v="36"/>
    <n v="6.4900000000000001E-3"/>
    <n v="7.5"/>
    <n v="7.1"/>
    <x v="0"/>
    <n v="4.5429999999999998E-2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1"/>
    <n v="6.6999999999999993"/>
    <x v="5"/>
    <n v="0.10439999999999999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1"/>
    <n v="6.6999999999999993"/>
    <x v="5"/>
    <n v="2.5079999999999998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49"/>
    <n v="3.16E-3"/>
    <n v="7.5"/>
    <n v="7.1"/>
    <x v="0"/>
    <n v="2.2120000000000001E-2"/>
    <x v="0"/>
  </r>
  <r>
    <x v="0"/>
    <x v="88"/>
    <n v="1.14E-2"/>
    <n v="7.5"/>
    <n v="7.1"/>
    <x v="0"/>
    <n v="7.980000000000001E-2"/>
    <x v="1"/>
  </r>
  <r>
    <x v="0"/>
    <x v="79"/>
    <n v="1.04E-2"/>
    <n v="7.5"/>
    <n v="7.1"/>
    <x v="0"/>
    <n v="7.2800000000000004E-2"/>
    <x v="0"/>
  </r>
  <r>
    <x v="0"/>
    <x v="89"/>
    <n v="6.8999999999999999E-3"/>
    <n v="7.5"/>
    <n v="7.1"/>
    <x v="0"/>
    <n v="4.8299999999999996E-2"/>
    <x v="1"/>
  </r>
  <r>
    <x v="0"/>
    <x v="77"/>
    <n v="1.3899999999999999E-2"/>
    <n v="7.5"/>
    <n v="7.1"/>
    <x v="0"/>
    <n v="9.7299999999999998E-2"/>
    <x v="1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0"/>
    <n v="4.1799999999999997E-3"/>
    <n v="7.415"/>
    <n v="7.0149999999999997"/>
    <x v="0"/>
    <n v="2.9259999999999998E-2"/>
    <x v="0"/>
  </r>
  <r>
    <x v="0"/>
    <x v="40"/>
    <n v="4.1799999999999997E-3"/>
    <n v="7.415"/>
    <n v="7.0149999999999997"/>
    <x v="0"/>
    <n v="2.9259999999999998E-2"/>
    <x v="0"/>
  </r>
  <r>
    <x v="0"/>
    <x v="40"/>
    <n v="4.1799999999999997E-3"/>
    <n v="7.415"/>
    <n v="7.0149999999999997"/>
    <x v="0"/>
    <n v="2.9259999999999998E-2"/>
    <x v="0"/>
  </r>
  <r>
    <x v="0"/>
    <x v="40"/>
    <n v="4.1799999999999997E-3"/>
    <n v="7.415"/>
    <n v="7.0149999999999997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3"/>
    <x v="80"/>
    <n v="3.0599999999999999E-2"/>
    <n v="7.5"/>
    <n v="7.1"/>
    <x v="0"/>
    <n v="0.2142"/>
    <x v="0"/>
  </r>
  <r>
    <x v="0"/>
    <x v="40"/>
    <n v="4.1799999999999997E-3"/>
    <n v="7.5"/>
    <n v="7.1"/>
    <x v="0"/>
    <n v="2.9259999999999998E-2"/>
    <x v="0"/>
  </r>
  <r>
    <x v="0"/>
    <x v="87"/>
    <n v="6.8999999999999999E-3"/>
    <n v="7.5"/>
    <n v="7.1"/>
    <x v="0"/>
    <n v="4.8299999999999996E-2"/>
    <x v="0"/>
  </r>
  <r>
    <x v="0"/>
    <x v="10"/>
    <n v="7.26E-3"/>
    <n v="7.5"/>
    <n v="7.1"/>
    <x v="0"/>
    <n v="5.0819999999999997E-2"/>
    <x v="0"/>
  </r>
  <r>
    <x v="0"/>
    <x v="79"/>
    <n v="1.04E-2"/>
    <n v="7.5"/>
    <n v="7.1"/>
    <x v="0"/>
    <n v="7.2800000000000004E-2"/>
    <x v="0"/>
  </r>
  <r>
    <x v="0"/>
    <x v="43"/>
    <n v="4.2100000000000002E-3"/>
    <n v="7.5"/>
    <n v="7.1"/>
    <x v="0"/>
    <n v="2.9470000000000003E-2"/>
    <x v="0"/>
  </r>
  <r>
    <x v="0"/>
    <x v="40"/>
    <n v="4.1799999999999997E-3"/>
    <n v="7.5"/>
    <n v="7.1"/>
    <x v="0"/>
    <n v="2.9259999999999998E-2"/>
    <x v="0"/>
  </r>
  <r>
    <x v="0"/>
    <x v="24"/>
    <n v="2.8E-3"/>
    <n v="3.75"/>
    <n v="3.35"/>
    <x v="1"/>
    <n v="8.3999999999999995E-3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2.5"/>
    <n v="2.1"/>
    <x v="6"/>
    <n v="5.5999999999999999E-3"/>
    <x v="0"/>
  </r>
  <r>
    <x v="0"/>
    <x v="37"/>
    <n v="3.5899999999999999E-3"/>
    <n v="6.33"/>
    <n v="5.93"/>
    <x v="7"/>
    <n v="1.7950000000000001E-2"/>
    <x v="0"/>
  </r>
  <r>
    <x v="3"/>
    <x v="81"/>
    <n v="2.01E-2"/>
    <n v="7.5"/>
    <n v="7.1"/>
    <x v="0"/>
    <n v="0.14069999999999999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79"/>
    <n v="1.04E-2"/>
    <n v="8.67"/>
    <n v="8.27"/>
    <x v="11"/>
    <n v="8.3199999999999996E-2"/>
    <x v="0"/>
  </r>
  <r>
    <x v="0"/>
    <x v="24"/>
    <n v="2.8E-3"/>
    <n v="2.2149999999999999"/>
    <n v="1.8149999999999999"/>
    <x v="2"/>
    <n v="2.8E-3"/>
    <x v="0"/>
  </r>
  <r>
    <x v="0"/>
    <x v="67"/>
    <n v="1.29E-2"/>
    <n v="5.94"/>
    <n v="5.54"/>
    <x v="7"/>
    <n v="6.4500000000000002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3"/>
    <x v="84"/>
    <n v="1.23E-2"/>
    <n v="7.5"/>
    <n v="7.1"/>
    <x v="0"/>
    <n v="8.6099999999999996E-2"/>
    <x v="0"/>
  </r>
  <r>
    <x v="0"/>
    <x v="82"/>
    <n v="1.5900000000000001E-2"/>
    <n v="7.5"/>
    <n v="7.1"/>
    <x v="0"/>
    <n v="0.11130000000000001"/>
    <x v="0"/>
  </r>
  <r>
    <x v="0"/>
    <x v="29"/>
    <n v="1.5900000000000001E-2"/>
    <n v="7.5"/>
    <n v="7.1"/>
    <x v="0"/>
    <n v="0.11130000000000001"/>
    <x v="0"/>
  </r>
  <r>
    <x v="0"/>
    <x v="29"/>
    <n v="1.5900000000000001E-2"/>
    <n v="7.5"/>
    <n v="7.1"/>
    <x v="0"/>
    <n v="0.11130000000000001"/>
    <x v="0"/>
  </r>
  <r>
    <x v="0"/>
    <x v="48"/>
    <n v="7.62E-3"/>
    <n v="7.5"/>
    <n v="7.1"/>
    <x v="0"/>
    <n v="5.3339999999999999E-2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82"/>
    <n v="1.5900000000000001E-2"/>
    <n v="9.7949999999999999"/>
    <n v="9.3949999999999996"/>
    <x v="9"/>
    <n v="0.1431"/>
    <x v="0"/>
  </r>
  <r>
    <x v="0"/>
    <x v="12"/>
    <n v="5.8700000000000002E-3"/>
    <n v="8.67"/>
    <n v="8.27"/>
    <x v="11"/>
    <n v="4.6960000000000002E-2"/>
    <x v="0"/>
  </r>
  <r>
    <x v="0"/>
    <x v="24"/>
    <n v="2.8E-3"/>
    <n v="1.125"/>
    <n v="0.72499999999999998"/>
    <x v="4"/>
    <n v="0"/>
    <x v="0"/>
  </r>
  <r>
    <x v="0"/>
    <x v="28"/>
    <n v="5.7299999999999999E-3"/>
    <n v="7.5"/>
    <n v="7.1"/>
    <x v="0"/>
    <n v="4.011E-2"/>
    <x v="0"/>
  </r>
  <r>
    <x v="0"/>
    <x v="38"/>
    <n v="1.17E-2"/>
    <n v="7.5"/>
    <n v="7.1"/>
    <x v="0"/>
    <n v="8.1900000000000001E-2"/>
    <x v="0"/>
  </r>
  <r>
    <x v="0"/>
    <x v="38"/>
    <n v="1.17E-2"/>
    <n v="7.5"/>
    <n v="7.1"/>
    <x v="0"/>
    <n v="8.1900000000000001E-2"/>
    <x v="0"/>
  </r>
  <r>
    <x v="0"/>
    <x v="56"/>
    <n v="1.44E-2"/>
    <n v="7.5"/>
    <n v="7.1"/>
    <x v="0"/>
    <n v="0.1008"/>
    <x v="1"/>
  </r>
  <r>
    <x v="0"/>
    <x v="44"/>
    <n v="1.0500000000000001E-2"/>
    <n v="7.5"/>
    <n v="7.1"/>
    <x v="0"/>
    <n v="7.350000000000001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55"/>
    <n v="4.9699999999999996E-3"/>
    <n v="8.67"/>
    <n v="8.27"/>
    <x v="11"/>
    <n v="3.9759999999999997E-2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36"/>
    <n v="6.4900000000000001E-3"/>
    <n v="5.94"/>
    <n v="5.54"/>
    <x v="7"/>
    <n v="3.245E-2"/>
    <x v="0"/>
  </r>
  <r>
    <x v="0"/>
    <x v="48"/>
    <n v="7.62E-3"/>
    <n v="5.94"/>
    <n v="5.54"/>
    <x v="7"/>
    <n v="3.8100000000000002E-2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39"/>
    <n v="3.2000000000000002E-3"/>
    <n v="4.085"/>
    <n v="3.6850000000000001"/>
    <x v="1"/>
    <n v="9.6000000000000009E-3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90"/>
    <n v="7.6499999999999997E-3"/>
    <n v="7.5"/>
    <n v="7.1"/>
    <x v="0"/>
    <n v="5.355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4"/>
    <n v="2.8E-3"/>
    <n v="1.72"/>
    <n v="1.3199999999999998"/>
    <x v="2"/>
    <n v="2.8E-3"/>
    <x v="0"/>
  </r>
  <r>
    <x v="0"/>
    <x v="40"/>
    <n v="4.1799999999999997E-3"/>
    <n v="1.63"/>
    <n v="1.23"/>
    <x v="2"/>
    <n v="4.1799999999999997E-3"/>
    <x v="0"/>
  </r>
  <r>
    <x v="0"/>
    <x v="40"/>
    <n v="4.1799999999999997E-3"/>
    <n v="1.72"/>
    <n v="1.3199999999999998"/>
    <x v="2"/>
    <n v="4.1799999999999997E-3"/>
    <x v="0"/>
  </r>
  <r>
    <x v="0"/>
    <x v="40"/>
    <n v="4.1799999999999997E-3"/>
    <n v="4.1500000000000004"/>
    <n v="3.7500000000000004"/>
    <x v="1"/>
    <n v="1.2539999999999999E-2"/>
    <x v="0"/>
  </r>
  <r>
    <x v="0"/>
    <x v="40"/>
    <n v="4.1799999999999997E-3"/>
    <n v="1.63"/>
    <n v="1.23"/>
    <x v="2"/>
    <n v="4.1799999999999997E-3"/>
    <x v="0"/>
  </r>
  <r>
    <x v="0"/>
    <x v="40"/>
    <n v="4.1799999999999997E-3"/>
    <n v="1.72"/>
    <n v="1.3199999999999998"/>
    <x v="2"/>
    <n v="4.1799999999999997E-3"/>
    <x v="0"/>
  </r>
  <r>
    <x v="0"/>
    <x v="40"/>
    <n v="4.1799999999999997E-3"/>
    <n v="4.1500000000000004"/>
    <n v="3.7500000000000004"/>
    <x v="1"/>
    <n v="1.2539999999999999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6.375"/>
    <n v="5.9749999999999996"/>
    <x v="7"/>
    <n v="1.4E-2"/>
    <x v="0"/>
  </r>
  <r>
    <x v="0"/>
    <x v="50"/>
    <n v="5.8599999999999998E-3"/>
    <n v="7.5"/>
    <n v="7.1"/>
    <x v="0"/>
    <n v="4.1020000000000001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88"/>
    <n v="1.14E-2"/>
    <n v="7.5"/>
    <n v="7.1"/>
    <x v="0"/>
    <n v="7.980000000000001E-2"/>
    <x v="1"/>
  </r>
  <r>
    <x v="0"/>
    <x v="88"/>
    <n v="1.14E-2"/>
    <n v="7.5"/>
    <n v="7.1"/>
    <x v="0"/>
    <n v="7.980000000000001E-2"/>
    <x v="1"/>
  </r>
  <r>
    <x v="0"/>
    <x v="48"/>
    <n v="7.62E-3"/>
    <n v="7.5"/>
    <n v="7.1"/>
    <x v="0"/>
    <n v="5.3339999999999999E-2"/>
    <x v="0"/>
  </r>
  <r>
    <x v="0"/>
    <x v="12"/>
    <n v="5.8700000000000002E-3"/>
    <n v="4"/>
    <n v="3.6"/>
    <x v="1"/>
    <n v="1.7610000000000001E-2"/>
    <x v="0"/>
  </r>
  <r>
    <x v="0"/>
    <x v="12"/>
    <n v="5.8700000000000002E-3"/>
    <n v="4"/>
    <n v="3.6"/>
    <x v="1"/>
    <n v="1.7610000000000001E-2"/>
    <x v="0"/>
  </r>
  <r>
    <x v="0"/>
    <x v="46"/>
    <n v="3.6099999999999999E-3"/>
    <n v="1.75"/>
    <n v="1.35"/>
    <x v="2"/>
    <n v="3.6099999999999999E-3"/>
    <x v="0"/>
  </r>
  <r>
    <x v="0"/>
    <x v="46"/>
    <n v="3.6099999999999999E-3"/>
    <n v="1.75"/>
    <n v="1.35"/>
    <x v="2"/>
    <n v="3.6099999999999999E-3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50"/>
    <n v="5.8599999999999998E-3"/>
    <n v="7.5"/>
    <n v="7.1"/>
    <x v="0"/>
    <n v="4.1020000000000001E-2"/>
    <x v="0"/>
  </r>
  <r>
    <x v="0"/>
    <x v="79"/>
    <n v="1.04E-2"/>
    <n v="7.5"/>
    <n v="7.1"/>
    <x v="0"/>
    <n v="7.2800000000000004E-2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1.18"/>
    <n v="0.77999999999999992"/>
    <x v="4"/>
    <n v="0"/>
    <x v="0"/>
  </r>
  <r>
    <x v="0"/>
    <x v="46"/>
    <n v="3.6099999999999999E-3"/>
    <n v="1.18"/>
    <n v="0.77999999999999992"/>
    <x v="4"/>
    <n v="0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1.44"/>
    <n v="1.04"/>
    <x v="2"/>
    <n v="3.6099999999999999E-3"/>
    <x v="0"/>
  </r>
  <r>
    <x v="0"/>
    <x v="46"/>
    <n v="3.6099999999999999E-3"/>
    <n v="1.44"/>
    <n v="1.04"/>
    <x v="2"/>
    <n v="3.60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1.44"/>
    <n v="1.04"/>
    <x v="2"/>
    <n v="3.6099999999999999E-3"/>
    <x v="0"/>
  </r>
  <r>
    <x v="0"/>
    <x v="46"/>
    <n v="3.6099999999999999E-3"/>
    <n v="1.44"/>
    <n v="1.04"/>
    <x v="2"/>
    <n v="3.60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649999999999999"/>
    <n v="2.165"/>
    <x v="6"/>
    <n v="7.2199999999999999E-3"/>
    <x v="0"/>
  </r>
  <r>
    <x v="0"/>
    <x v="19"/>
    <n v="8.5500000000000003E-3"/>
    <n v="7.5"/>
    <n v="7.1"/>
    <x v="0"/>
    <n v="5.985E-2"/>
    <x v="0"/>
  </r>
  <r>
    <x v="0"/>
    <x v="37"/>
    <n v="3.5899999999999999E-3"/>
    <n v="7.5"/>
    <n v="7.1"/>
    <x v="0"/>
    <n v="2.513E-2"/>
    <x v="0"/>
  </r>
  <r>
    <x v="0"/>
    <x v="10"/>
    <n v="7.26E-3"/>
    <n v="7.5"/>
    <n v="7.1"/>
    <x v="0"/>
    <n v="5.0819999999999997E-2"/>
    <x v="0"/>
  </r>
  <r>
    <x v="0"/>
    <x v="24"/>
    <n v="2.8E-3"/>
    <n v="4.4400000000000004"/>
    <n v="4.04"/>
    <x v="3"/>
    <n v="1.12E-2"/>
    <x v="0"/>
  </r>
  <r>
    <x v="0"/>
    <x v="46"/>
    <n v="3.6099999999999999E-3"/>
    <n v="4.4400000000000004"/>
    <n v="4.04"/>
    <x v="3"/>
    <n v="1.444E-2"/>
    <x v="0"/>
  </r>
  <r>
    <x v="0"/>
    <x v="24"/>
    <n v="2.8E-3"/>
    <n v="3.39"/>
    <n v="2.99"/>
    <x v="6"/>
    <n v="5.5999999999999999E-3"/>
    <x v="0"/>
  </r>
  <r>
    <x v="0"/>
    <x v="24"/>
    <n v="2.8E-3"/>
    <n v="3.39"/>
    <n v="2.99"/>
    <x v="6"/>
    <n v="5.5999999999999999E-3"/>
    <x v="0"/>
  </r>
  <r>
    <x v="0"/>
    <x v="24"/>
    <n v="2.8E-3"/>
    <n v="0.97"/>
    <n v="0.56999999999999995"/>
    <x v="4"/>
    <n v="0"/>
    <x v="0"/>
  </r>
  <r>
    <x v="0"/>
    <x v="24"/>
    <n v="2.8E-3"/>
    <n v="2.08"/>
    <n v="1.6800000000000002"/>
    <x v="2"/>
    <n v="2.8E-3"/>
    <x v="0"/>
  </r>
  <r>
    <x v="0"/>
    <x v="46"/>
    <n v="3.6099999999999999E-3"/>
    <n v="2.17"/>
    <n v="1.77"/>
    <x v="2"/>
    <n v="3.6099999999999999E-3"/>
    <x v="0"/>
  </r>
  <r>
    <x v="0"/>
    <x v="21"/>
    <n v="4.9800000000000001E-3"/>
    <n v="7.5"/>
    <n v="7.1"/>
    <x v="0"/>
    <n v="3.4860000000000002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"/>
    <n v="5.3400000000000001E-3"/>
    <n v="3.52"/>
    <n v="3.12"/>
    <x v="1"/>
    <n v="1.602E-2"/>
    <x v="0"/>
  </r>
  <r>
    <x v="0"/>
    <x v="40"/>
    <n v="4.1799999999999997E-3"/>
    <n v="7.5"/>
    <n v="7.1"/>
    <x v="0"/>
    <n v="2.9259999999999998E-2"/>
    <x v="0"/>
  </r>
  <r>
    <x v="0"/>
    <x v="24"/>
    <n v="2.8E-3"/>
    <n v="2.5"/>
    <n v="2.1"/>
    <x v="6"/>
    <n v="5.5999999999999999E-3"/>
    <x v="0"/>
  </r>
  <r>
    <x v="0"/>
    <x v="10"/>
    <n v="7.26E-3"/>
    <n v="7.5"/>
    <n v="7.1"/>
    <x v="0"/>
    <n v="5.0819999999999997E-2"/>
    <x v="0"/>
  </r>
  <r>
    <x v="0"/>
    <x v="40"/>
    <n v="4.1799999999999997E-3"/>
    <n v="7.5"/>
    <n v="7.1"/>
    <x v="0"/>
    <n v="2.9259999999999998E-2"/>
    <x v="0"/>
  </r>
  <r>
    <x v="0"/>
    <x v="24"/>
    <n v="2.8E-3"/>
    <n v="2.5"/>
    <n v="2.1"/>
    <x v="6"/>
    <n v="5.5999999999999999E-3"/>
    <x v="0"/>
  </r>
  <r>
    <x v="0"/>
    <x v="77"/>
    <n v="1.3899999999999999E-2"/>
    <n v="6.48"/>
    <n v="6.08"/>
    <x v="5"/>
    <n v="8.3400000000000002E-2"/>
    <x v="1"/>
  </r>
  <r>
    <x v="0"/>
    <x v="4"/>
    <n v="6.8799999999999998E-3"/>
    <n v="3.52"/>
    <n v="3.12"/>
    <x v="1"/>
    <n v="2.0639999999999999E-2"/>
    <x v="0"/>
  </r>
  <r>
    <x v="0"/>
    <x v="46"/>
    <n v="3.6099999999999999E-3"/>
    <n v="2.0449999999999999"/>
    <n v="1.645"/>
    <x v="2"/>
    <n v="3.6099999999999999E-3"/>
    <x v="0"/>
  </r>
  <r>
    <x v="0"/>
    <x v="46"/>
    <n v="3.6099999999999999E-3"/>
    <n v="2.0449999999999999"/>
    <n v="1.645"/>
    <x v="2"/>
    <n v="3.6099999999999999E-3"/>
    <x v="0"/>
  </r>
  <r>
    <x v="0"/>
    <x v="24"/>
    <n v="2.8E-3"/>
    <n v="2.5"/>
    <n v="2.1"/>
    <x v="6"/>
    <n v="5.5999999999999999E-3"/>
    <x v="0"/>
  </r>
  <r>
    <x v="0"/>
    <x v="36"/>
    <n v="6.4900000000000001E-3"/>
    <n v="5"/>
    <n v="4.5999999999999996"/>
    <x v="3"/>
    <n v="2.596E-2"/>
    <x v="0"/>
  </r>
  <r>
    <x v="0"/>
    <x v="46"/>
    <n v="3.6099999999999999E-3"/>
    <n v="2.75"/>
    <n v="2.35"/>
    <x v="6"/>
    <n v="7.2199999999999999E-3"/>
    <x v="0"/>
  </r>
  <r>
    <x v="0"/>
    <x v="24"/>
    <n v="2.8E-3"/>
    <n v="7.415"/>
    <n v="7.0149999999999997"/>
    <x v="0"/>
    <n v="1.9599999999999999E-2"/>
    <x v="0"/>
  </r>
  <r>
    <x v="0"/>
    <x v="46"/>
    <n v="3.6099999999999999E-3"/>
    <n v="4"/>
    <n v="3.6"/>
    <x v="1"/>
    <n v="1.0829999999999999E-2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48"/>
    <n v="7.62E-3"/>
    <n v="5"/>
    <n v="4.5999999999999996"/>
    <x v="3"/>
    <n v="3.048E-2"/>
    <x v="0"/>
  </r>
  <r>
    <x v="0"/>
    <x v="48"/>
    <n v="7.62E-3"/>
    <n v="2.5"/>
    <n v="2.1"/>
    <x v="6"/>
    <n v="1.524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08"/>
    <n v="1.6800000000000002"/>
    <x v="2"/>
    <n v="2.8E-3"/>
    <x v="0"/>
  </r>
  <r>
    <x v="0"/>
    <x v="24"/>
    <n v="2.8E-3"/>
    <n v="0.97"/>
    <n v="0.56999999999999995"/>
    <x v="4"/>
    <n v="0"/>
    <x v="0"/>
  </r>
  <r>
    <x v="0"/>
    <x v="24"/>
    <n v="2.8E-3"/>
    <n v="3.39"/>
    <n v="2.99"/>
    <x v="6"/>
    <n v="5.5999999999999999E-3"/>
    <x v="0"/>
  </r>
  <r>
    <x v="0"/>
    <x v="24"/>
    <n v="2.8E-3"/>
    <n v="6.375"/>
    <n v="5.9749999999999996"/>
    <x v="7"/>
    <n v="1.4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"/>
    <n v="5.3400000000000001E-3"/>
    <n v="3.52"/>
    <n v="3.12"/>
    <x v="1"/>
    <n v="1.6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4"/>
    <n v="6.8799999999999998E-3"/>
    <n v="3.52"/>
    <n v="3.12"/>
    <x v="1"/>
    <n v="2.0639999999999999E-2"/>
    <x v="0"/>
  </r>
  <r>
    <x v="0"/>
    <x v="33"/>
    <n v="1.29E-2"/>
    <n v="7.5"/>
    <n v="7.1"/>
    <x v="0"/>
    <n v="9.0300000000000005E-2"/>
    <x v="0"/>
  </r>
  <r>
    <x v="0"/>
    <x v="48"/>
    <n v="7.62E-3"/>
    <n v="7.5"/>
    <n v="7.1"/>
    <x v="0"/>
    <n v="5.3339999999999999E-2"/>
    <x v="0"/>
  </r>
  <r>
    <x v="0"/>
    <x v="43"/>
    <n v="4.2100000000000002E-3"/>
    <n v="7.5"/>
    <n v="7.1"/>
    <x v="0"/>
    <n v="2.9470000000000003E-2"/>
    <x v="0"/>
  </r>
  <r>
    <x v="0"/>
    <x v="21"/>
    <n v="4.9800000000000001E-3"/>
    <n v="7.5"/>
    <n v="7.1"/>
    <x v="0"/>
    <n v="3.4860000000000002E-2"/>
    <x v="0"/>
  </r>
  <r>
    <x v="0"/>
    <x v="48"/>
    <n v="7.62E-3"/>
    <n v="7.5"/>
    <n v="7.1"/>
    <x v="0"/>
    <n v="5.3339999999999999E-2"/>
    <x v="0"/>
  </r>
  <r>
    <x v="0"/>
    <x v="21"/>
    <n v="4.9800000000000001E-3"/>
    <n v="5"/>
    <n v="4.5999999999999996"/>
    <x v="3"/>
    <n v="1.992E-2"/>
    <x v="0"/>
  </r>
  <r>
    <x v="0"/>
    <x v="36"/>
    <n v="6.4900000000000001E-3"/>
    <n v="5.94"/>
    <n v="5.54"/>
    <x v="7"/>
    <n v="3.245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7.5"/>
    <n v="7.1"/>
    <x v="0"/>
    <n v="4.1020000000000001E-2"/>
    <x v="0"/>
  </r>
  <r>
    <x v="0"/>
    <x v="50"/>
    <n v="5.8599999999999998E-3"/>
    <n v="7.5"/>
    <n v="7.1"/>
    <x v="0"/>
    <n v="4.1020000000000001E-2"/>
    <x v="0"/>
  </r>
  <r>
    <x v="0"/>
    <x v="50"/>
    <n v="5.8599999999999998E-3"/>
    <n v="8.67"/>
    <n v="8.27"/>
    <x v="11"/>
    <n v="4.6879999999999998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48"/>
    <n v="7.62E-3"/>
    <n v="7.5"/>
    <n v="7.1"/>
    <x v="0"/>
    <n v="5.3339999999999999E-2"/>
    <x v="0"/>
  </r>
  <r>
    <x v="0"/>
    <x v="90"/>
    <n v="7.6499999999999997E-3"/>
    <n v="7.5"/>
    <n v="7.1"/>
    <x v="0"/>
    <n v="5.355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3"/>
    <n v="4.2100000000000002E-3"/>
    <n v="7.5"/>
    <n v="7.1"/>
    <x v="0"/>
    <n v="2.9470000000000003E-2"/>
    <x v="0"/>
  </r>
  <r>
    <x v="0"/>
    <x v="79"/>
    <n v="1.04E-2"/>
    <n v="7.5"/>
    <n v="7.1"/>
    <x v="0"/>
    <n v="7.2800000000000004E-2"/>
    <x v="0"/>
  </r>
  <r>
    <x v="0"/>
    <x v="79"/>
    <n v="1.04E-2"/>
    <n v="8.67"/>
    <n v="8.27"/>
    <x v="11"/>
    <n v="8.3199999999999996E-2"/>
    <x v="0"/>
  </r>
  <r>
    <x v="0"/>
    <x v="1"/>
    <n v="6.1199999999999996E-3"/>
    <n v="7.5"/>
    <n v="7.1"/>
    <x v="0"/>
    <n v="4.2839999999999996E-2"/>
    <x v="0"/>
  </r>
  <r>
    <x v="0"/>
    <x v="40"/>
    <n v="4.1799999999999997E-3"/>
    <n v="7.5"/>
    <n v="7.1"/>
    <x v="0"/>
    <n v="2.9259999999999998E-2"/>
    <x v="0"/>
  </r>
  <r>
    <x v="0"/>
    <x v="43"/>
    <n v="4.2100000000000002E-3"/>
    <n v="7.5"/>
    <n v="7.1"/>
    <x v="0"/>
    <n v="2.9470000000000003E-2"/>
    <x v="0"/>
  </r>
  <r>
    <x v="0"/>
    <x v="44"/>
    <n v="1.0500000000000001E-2"/>
    <n v="7.5"/>
    <n v="7.1"/>
    <x v="0"/>
    <n v="7.350000000000001E-2"/>
    <x v="0"/>
  </r>
  <r>
    <x v="0"/>
    <x v="38"/>
    <n v="1.17E-2"/>
    <n v="7.5"/>
    <n v="7.1"/>
    <x v="0"/>
    <n v="8.1900000000000001E-2"/>
    <x v="0"/>
  </r>
  <r>
    <x v="0"/>
    <x v="38"/>
    <n v="1.17E-2"/>
    <n v="7.5"/>
    <n v="7.1"/>
    <x v="0"/>
    <n v="8.1900000000000001E-2"/>
    <x v="0"/>
  </r>
  <r>
    <x v="0"/>
    <x v="67"/>
    <n v="1.29E-2"/>
    <n v="5.94"/>
    <n v="5.54"/>
    <x v="7"/>
    <n v="6.4500000000000002E-2"/>
    <x v="0"/>
  </r>
  <r>
    <x v="0"/>
    <x v="48"/>
    <n v="7.62E-3"/>
    <n v="6.48"/>
    <n v="6.08"/>
    <x v="5"/>
    <n v="4.5719999999999997E-2"/>
    <x v="0"/>
  </r>
  <r>
    <x v="0"/>
    <x v="1"/>
    <n v="6.1199999999999996E-3"/>
    <n v="7.5"/>
    <n v="7.1"/>
    <x v="0"/>
    <n v="4.2839999999999996E-2"/>
    <x v="0"/>
  </r>
  <r>
    <x v="0"/>
    <x v="56"/>
    <n v="1.44E-2"/>
    <n v="7.5"/>
    <n v="7.1"/>
    <x v="0"/>
    <n v="0.1008"/>
    <x v="1"/>
  </r>
  <r>
    <x v="0"/>
    <x v="82"/>
    <n v="1.5900000000000001E-2"/>
    <n v="9.7949999999999999"/>
    <n v="9.3949999999999996"/>
    <x v="9"/>
    <n v="0.1431"/>
    <x v="0"/>
  </r>
  <r>
    <x v="0"/>
    <x v="33"/>
    <n v="1.29E-2"/>
    <n v="7.5"/>
    <n v="7.1"/>
    <x v="0"/>
    <n v="9.0300000000000005E-2"/>
    <x v="0"/>
  </r>
  <r>
    <x v="0"/>
    <x v="48"/>
    <n v="7.62E-3"/>
    <n v="7.5"/>
    <n v="7.1"/>
    <x v="0"/>
    <n v="5.3339999999999999E-2"/>
    <x v="0"/>
  </r>
  <r>
    <x v="3"/>
    <x v="84"/>
    <n v="1.23E-2"/>
    <n v="7.5"/>
    <n v="7.1"/>
    <x v="0"/>
    <n v="8.6099999999999996E-2"/>
    <x v="0"/>
  </r>
  <r>
    <x v="0"/>
    <x v="40"/>
    <n v="4.1799999999999997E-3"/>
    <n v="7.5"/>
    <n v="7.1"/>
    <x v="0"/>
    <n v="2.9259999999999998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1"/>
    <n v="6.6999999999999993"/>
    <x v="5"/>
    <n v="3.9960000000000002E-2"/>
    <x v="0"/>
  </r>
  <r>
    <x v="0"/>
    <x v="43"/>
    <n v="4.2100000000000002E-3"/>
    <n v="7.032"/>
    <n v="6.6319999999999997"/>
    <x v="5"/>
    <n v="2.526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38"/>
    <n v="1.17E-2"/>
    <n v="7.5"/>
    <n v="7.1"/>
    <x v="0"/>
    <n v="8.1900000000000001E-2"/>
    <x v="0"/>
  </r>
  <r>
    <x v="0"/>
    <x v="33"/>
    <n v="1.29E-2"/>
    <n v="7.5"/>
    <n v="7.1"/>
    <x v="0"/>
    <n v="9.0300000000000005E-2"/>
    <x v="0"/>
  </r>
  <r>
    <x v="0"/>
    <x v="49"/>
    <n v="3.16E-3"/>
    <n v="4.9349999999999996"/>
    <n v="4.5349999999999993"/>
    <x v="3"/>
    <n v="1.264E-2"/>
    <x v="0"/>
  </r>
  <r>
    <x v="0"/>
    <x v="49"/>
    <n v="3.16E-3"/>
    <n v="4.9349999999999996"/>
    <n v="4.5349999999999993"/>
    <x v="3"/>
    <n v="1.264E-2"/>
    <x v="0"/>
  </r>
  <r>
    <x v="0"/>
    <x v="28"/>
    <n v="5.7299999999999999E-3"/>
    <n v="7.5"/>
    <n v="7.1"/>
    <x v="0"/>
    <n v="4.011E-2"/>
    <x v="0"/>
  </r>
  <r>
    <x v="0"/>
    <x v="24"/>
    <n v="2.8E-3"/>
    <n v="1.44"/>
    <n v="1.04"/>
    <x v="2"/>
    <n v="2.8E-3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3.39"/>
    <n v="2.99"/>
    <x v="6"/>
    <n v="5.5999999999999999E-3"/>
    <x v="0"/>
  </r>
  <r>
    <x v="0"/>
    <x v="24"/>
    <n v="2.8E-3"/>
    <n v="3.06"/>
    <n v="2.66"/>
    <x v="6"/>
    <n v="5.5999999999999999E-3"/>
    <x v="0"/>
  </r>
  <r>
    <x v="0"/>
    <x v="46"/>
    <n v="3.6099999999999999E-3"/>
    <n v="3.39"/>
    <n v="2.99"/>
    <x v="6"/>
    <n v="7.2199999999999999E-3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9"/>
    <n v="3.16E-3"/>
    <n v="4.9349999999999996"/>
    <n v="4.5349999999999993"/>
    <x v="3"/>
    <n v="1.264E-2"/>
    <x v="0"/>
  </r>
  <r>
    <x v="0"/>
    <x v="49"/>
    <n v="3.16E-3"/>
    <n v="4.9349999999999996"/>
    <n v="4.5349999999999993"/>
    <x v="3"/>
    <n v="1.264E-2"/>
    <x v="0"/>
  </r>
  <r>
    <x v="0"/>
    <x v="38"/>
    <n v="1.17E-2"/>
    <n v="7.5"/>
    <n v="7.1"/>
    <x v="0"/>
    <n v="8.1900000000000001E-2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48"/>
    <n v="7.62E-3"/>
    <n v="5"/>
    <n v="4.5999999999999996"/>
    <x v="3"/>
    <n v="3.048E-2"/>
    <x v="0"/>
  </r>
  <r>
    <x v="0"/>
    <x v="48"/>
    <n v="7.62E-3"/>
    <n v="2.5"/>
    <n v="2.1"/>
    <x v="6"/>
    <n v="1.524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24"/>
    <n v="2.8E-3"/>
    <n v="3.06"/>
    <n v="2.66"/>
    <x v="6"/>
    <n v="5.5999999999999999E-3"/>
    <x v="0"/>
  </r>
  <r>
    <x v="0"/>
    <x v="24"/>
    <n v="2.8E-3"/>
    <n v="3.39"/>
    <n v="2.99"/>
    <x v="6"/>
    <n v="5.5999999999999999E-3"/>
    <x v="0"/>
  </r>
  <r>
    <x v="0"/>
    <x v="24"/>
    <n v="2.8E-3"/>
    <n v="1.44"/>
    <n v="1.04"/>
    <x v="2"/>
    <n v="2.8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24"/>
    <n v="2.8E-3"/>
    <n v="6.375"/>
    <n v="5.9749999999999996"/>
    <x v="7"/>
    <n v="1.4E-2"/>
    <x v="0"/>
  </r>
  <r>
    <x v="0"/>
    <x v="24"/>
    <n v="2.8E-3"/>
    <n v="3.39"/>
    <n v="2.99"/>
    <x v="6"/>
    <n v="5.5999999999999999E-3"/>
    <x v="0"/>
  </r>
  <r>
    <x v="0"/>
    <x v="24"/>
    <n v="2.8E-3"/>
    <n v="0.97"/>
    <n v="0.56999999999999995"/>
    <x v="4"/>
    <n v="0"/>
    <x v="0"/>
  </r>
  <r>
    <x v="0"/>
    <x v="24"/>
    <n v="2.8E-3"/>
    <n v="2.08"/>
    <n v="1.6800000000000002"/>
    <x v="2"/>
    <n v="2.8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39"/>
    <n v="3.2000000000000002E-3"/>
    <n v="4.085"/>
    <n v="3.6850000000000001"/>
    <x v="1"/>
    <n v="9.6000000000000009E-3"/>
    <x v="0"/>
  </r>
  <r>
    <x v="0"/>
    <x v="46"/>
    <n v="3.6099999999999999E-3"/>
    <n v="3.39"/>
    <n v="2.99"/>
    <x v="6"/>
    <n v="7.2199999999999999E-3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"/>
    <n v="5.3400000000000001E-3"/>
    <n v="3.52"/>
    <n v="3.12"/>
    <x v="1"/>
    <n v="1.602E-2"/>
    <x v="0"/>
  </r>
  <r>
    <x v="3"/>
    <x v="69"/>
    <n v="2.52E-2"/>
    <n v="7.5"/>
    <n v="7.1"/>
    <x v="0"/>
    <n v="0.1764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2"/>
    <n v="5.8700000000000002E-3"/>
    <n v="8.67"/>
    <n v="8.27"/>
    <x v="11"/>
    <n v="4.696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4"/>
    <n v="6.8799999999999998E-3"/>
    <n v="3.52"/>
    <n v="3.12"/>
    <x v="1"/>
    <n v="2.0639999999999999E-2"/>
    <x v="0"/>
  </r>
  <r>
    <x v="0"/>
    <x v="49"/>
    <n v="3.16E-3"/>
    <n v="4.9349999999999996"/>
    <n v="4.5349999999999993"/>
    <x v="3"/>
    <n v="1.264E-2"/>
    <x v="0"/>
  </r>
  <r>
    <x v="0"/>
    <x v="49"/>
    <n v="3.16E-3"/>
    <n v="4.9349999999999996"/>
    <n v="4.5349999999999993"/>
    <x v="3"/>
    <n v="1.264E-2"/>
    <x v="0"/>
  </r>
  <r>
    <x v="0"/>
    <x v="28"/>
    <n v="5.7299999999999999E-3"/>
    <n v="7.032"/>
    <n v="6.6319999999999997"/>
    <x v="5"/>
    <n v="3.4380000000000001E-2"/>
    <x v="0"/>
  </r>
  <r>
    <x v="0"/>
    <x v="43"/>
    <n v="4.2100000000000002E-3"/>
    <n v="7.5"/>
    <n v="7.1"/>
    <x v="0"/>
    <n v="2.9470000000000003E-2"/>
    <x v="0"/>
  </r>
  <r>
    <x v="0"/>
    <x v="10"/>
    <n v="7.26E-3"/>
    <n v="7.5"/>
    <n v="7.1"/>
    <x v="0"/>
    <n v="5.0819999999999997E-2"/>
    <x v="0"/>
  </r>
  <r>
    <x v="0"/>
    <x v="43"/>
    <n v="4.2100000000000002E-3"/>
    <n v="7.5"/>
    <n v="7.1"/>
    <x v="0"/>
    <n v="2.9470000000000003E-2"/>
    <x v="0"/>
  </r>
  <r>
    <x v="0"/>
    <x v="21"/>
    <n v="4.9800000000000001E-3"/>
    <n v="5"/>
    <n v="4.5999999999999996"/>
    <x v="3"/>
    <n v="1.992E-2"/>
    <x v="0"/>
  </r>
  <r>
    <x v="0"/>
    <x v="21"/>
    <n v="4.9800000000000001E-3"/>
    <n v="7.5"/>
    <n v="7.1"/>
    <x v="0"/>
    <n v="3.4860000000000002E-2"/>
    <x v="0"/>
  </r>
  <r>
    <x v="0"/>
    <x v="28"/>
    <n v="5.7299999999999999E-3"/>
    <n v="7.5"/>
    <n v="7.1"/>
    <x v="0"/>
    <n v="4.011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7.5"/>
    <n v="7.1"/>
    <x v="0"/>
    <n v="3.4789999999999995E-2"/>
    <x v="0"/>
  </r>
  <r>
    <x v="0"/>
    <x v="50"/>
    <n v="5.8599999999999998E-3"/>
    <n v="8.67"/>
    <n v="8.27"/>
    <x v="11"/>
    <n v="4.68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90"/>
    <n v="7.6499999999999997E-3"/>
    <n v="7.5"/>
    <n v="7.1"/>
    <x v="0"/>
    <n v="5.355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1"/>
    <n v="6.6999999999999993"/>
    <x v="5"/>
    <n v="3.996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3"/>
    <x v="69"/>
    <n v="2.52E-2"/>
    <n v="7.5"/>
    <n v="7.1"/>
    <x v="0"/>
    <n v="0.1764"/>
    <x v="0"/>
  </r>
  <r>
    <x v="0"/>
    <x v="23"/>
    <n v="6.6600000000000001E-3"/>
    <n v="7.5"/>
    <n v="7.1"/>
    <x v="0"/>
    <n v="4.6620000000000002E-2"/>
    <x v="0"/>
  </r>
  <r>
    <x v="0"/>
    <x v="55"/>
    <n v="4.9699999999999996E-3"/>
    <n v="7.5"/>
    <n v="7.1"/>
    <x v="0"/>
    <n v="3.4789999999999995E-2"/>
    <x v="0"/>
  </r>
  <r>
    <x v="0"/>
    <x v="48"/>
    <n v="7.62E-3"/>
    <n v="7.5"/>
    <n v="7.1"/>
    <x v="0"/>
    <n v="5.3339999999999999E-2"/>
    <x v="0"/>
  </r>
  <r>
    <x v="0"/>
    <x v="48"/>
    <n v="7.62E-3"/>
    <n v="6.48"/>
    <n v="6.08"/>
    <x v="5"/>
    <n v="4.5719999999999997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79"/>
    <n v="1.04E-2"/>
    <n v="8.67"/>
    <n v="8.27"/>
    <x v="11"/>
    <n v="8.3199999999999996E-2"/>
    <x v="0"/>
  </r>
  <r>
    <x v="0"/>
    <x v="79"/>
    <n v="1.04E-2"/>
    <n v="7.5"/>
    <n v="7.1"/>
    <x v="0"/>
    <n v="7.2800000000000004E-2"/>
    <x v="0"/>
  </r>
  <r>
    <x v="0"/>
    <x v="67"/>
    <n v="1.29E-2"/>
    <n v="7.5"/>
    <n v="7.1"/>
    <x v="0"/>
    <n v="9.0300000000000005E-2"/>
    <x v="0"/>
  </r>
  <r>
    <x v="0"/>
    <x v="28"/>
    <n v="5.7299999999999999E-3"/>
    <n v="7.5"/>
    <n v="7.1"/>
    <x v="0"/>
    <n v="4.011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67"/>
    <n v="1.29E-2"/>
    <n v="5.94"/>
    <n v="5.54"/>
    <x v="7"/>
    <n v="6.4500000000000002E-2"/>
    <x v="0"/>
  </r>
  <r>
    <x v="0"/>
    <x v="33"/>
    <n v="1.29E-2"/>
    <n v="7.5"/>
    <n v="7.1"/>
    <x v="0"/>
    <n v="9.0300000000000005E-2"/>
    <x v="0"/>
  </r>
  <r>
    <x v="0"/>
    <x v="33"/>
    <n v="1.29E-2"/>
    <n v="7.5"/>
    <n v="7.1"/>
    <x v="0"/>
    <n v="9.0300000000000005E-2"/>
    <x v="0"/>
  </r>
  <r>
    <x v="0"/>
    <x v="33"/>
    <n v="1.29E-2"/>
    <n v="7.5"/>
    <n v="7.1"/>
    <x v="0"/>
    <n v="9.0300000000000005E-2"/>
    <x v="0"/>
  </r>
  <r>
    <x v="0"/>
    <x v="33"/>
    <n v="1.29E-2"/>
    <n v="7.5"/>
    <n v="7.1"/>
    <x v="0"/>
    <n v="9.0300000000000005E-2"/>
    <x v="0"/>
  </r>
  <r>
    <x v="0"/>
    <x v="82"/>
    <n v="1.5900000000000001E-2"/>
    <n v="9.7949999999999999"/>
    <n v="9.3949999999999996"/>
    <x v="9"/>
    <n v="0.1431"/>
    <x v="0"/>
  </r>
  <r>
    <x v="3"/>
    <x v="84"/>
    <n v="1.23E-2"/>
    <n v="7.5"/>
    <n v="7.1"/>
    <x v="0"/>
    <n v="8.6099999999999996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1"/>
    <n v="4.9800000000000001E-3"/>
    <n v="6.9950000000000001"/>
    <n v="6.5949999999999998"/>
    <x v="5"/>
    <n v="2.988E-2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4.0209999999999999"/>
    <n v="3.621"/>
    <x v="1"/>
    <n v="8.3999999999999995E-3"/>
    <x v="0"/>
  </r>
  <r>
    <x v="0"/>
    <x v="28"/>
    <n v="5.7299999999999999E-3"/>
    <n v="7.5"/>
    <n v="7.1"/>
    <x v="0"/>
    <n v="4.011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7"/>
    <n v="1.2500000000000001E-2"/>
    <n v="7.5"/>
    <n v="7.1"/>
    <x v="0"/>
    <n v="8.7500000000000008E-2"/>
    <x v="0"/>
  </r>
  <r>
    <x v="0"/>
    <x v="24"/>
    <n v="2.8E-3"/>
    <n v="2.17"/>
    <n v="1.77"/>
    <x v="2"/>
    <n v="2.8E-3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.2450000000000001"/>
    <n v="0.84500000000000008"/>
    <x v="4"/>
    <n v="0"/>
    <x v="0"/>
  </r>
  <r>
    <x v="0"/>
    <x v="40"/>
    <n v="4.1799999999999997E-3"/>
    <n v="6.9950000000000001"/>
    <n v="6.5949999999999998"/>
    <x v="5"/>
    <n v="2.5079999999999998E-2"/>
    <x v="0"/>
  </r>
  <r>
    <x v="0"/>
    <x v="23"/>
    <n v="6.6600000000000001E-3"/>
    <n v="6.9950000000000001"/>
    <n v="6.5949999999999998"/>
    <x v="5"/>
    <n v="3.9960000000000002E-2"/>
    <x v="0"/>
  </r>
  <r>
    <x v="0"/>
    <x v="21"/>
    <n v="4.9800000000000001E-3"/>
    <n v="6.9950000000000001"/>
    <n v="6.5949999999999998"/>
    <x v="5"/>
    <n v="2.988E-2"/>
    <x v="0"/>
  </r>
  <r>
    <x v="0"/>
    <x v="24"/>
    <n v="2.8E-3"/>
    <n v="1.675"/>
    <n v="1.2749999999999999"/>
    <x v="2"/>
    <n v="2.8E-3"/>
    <x v="0"/>
  </r>
  <r>
    <x v="0"/>
    <x v="24"/>
    <n v="2.8E-3"/>
    <n v="1.675"/>
    <n v="1.2749999999999999"/>
    <x v="2"/>
    <n v="2.8E-3"/>
    <x v="0"/>
  </r>
  <r>
    <x v="0"/>
    <x v="24"/>
    <n v="2.8E-3"/>
    <n v="1.675"/>
    <n v="1.2749999999999999"/>
    <x v="2"/>
    <n v="2.8E-3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48"/>
    <n v="7.62E-3"/>
    <n v="5"/>
    <n v="4.5999999999999996"/>
    <x v="3"/>
    <n v="3.048E-2"/>
    <x v="0"/>
  </r>
  <r>
    <x v="0"/>
    <x v="48"/>
    <n v="7.62E-3"/>
    <n v="2.5"/>
    <n v="2.1"/>
    <x v="6"/>
    <n v="1.524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48"/>
    <n v="7.62E-3"/>
    <n v="7.5"/>
    <n v="7.1"/>
    <x v="0"/>
    <n v="5.3339999999999999E-2"/>
    <x v="0"/>
  </r>
  <r>
    <x v="0"/>
    <x v="24"/>
    <n v="2.8E-3"/>
    <n v="4.0209999999999999"/>
    <n v="3.621"/>
    <x v="1"/>
    <n v="8.3999999999999995E-3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08"/>
    <n v="1.6800000000000002"/>
    <x v="2"/>
    <n v="2.8E-3"/>
    <x v="0"/>
  </r>
  <r>
    <x v="0"/>
    <x v="24"/>
    <n v="2.8E-3"/>
    <n v="0.97"/>
    <n v="0.56999999999999995"/>
    <x v="4"/>
    <n v="0"/>
    <x v="0"/>
  </r>
  <r>
    <x v="0"/>
    <x v="24"/>
    <n v="2.8E-3"/>
    <n v="3.39"/>
    <n v="2.99"/>
    <x v="6"/>
    <n v="5.5999999999999999E-3"/>
    <x v="0"/>
  </r>
  <r>
    <x v="0"/>
    <x v="24"/>
    <n v="2.8E-3"/>
    <n v="6.375"/>
    <n v="5.9749999999999996"/>
    <x v="7"/>
    <n v="1.4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39"/>
    <n v="2.99"/>
    <x v="6"/>
    <n v="5.5999999999999999E-3"/>
    <x v="0"/>
  </r>
  <r>
    <x v="0"/>
    <x v="24"/>
    <n v="2.8E-3"/>
    <n v="3.06"/>
    <n v="2.66"/>
    <x v="6"/>
    <n v="5.5999999999999999E-3"/>
    <x v="0"/>
  </r>
  <r>
    <x v="0"/>
    <x v="39"/>
    <n v="3.2000000000000002E-3"/>
    <n v="4.085"/>
    <n v="3.6850000000000001"/>
    <x v="1"/>
    <n v="9.6000000000000009E-3"/>
    <x v="0"/>
  </r>
  <r>
    <x v="0"/>
    <x v="46"/>
    <n v="3.6099999999999999E-3"/>
    <n v="3.39"/>
    <n v="2.99"/>
    <x v="6"/>
    <n v="7.2199999999999999E-3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40"/>
    <n v="4.1799999999999997E-3"/>
    <n v="7.5"/>
    <n v="7.1"/>
    <x v="0"/>
    <n v="2.9259999999999998E-2"/>
    <x v="0"/>
  </r>
  <r>
    <x v="0"/>
    <x v="43"/>
    <n v="4.2100000000000002E-3"/>
    <n v="7.5"/>
    <n v="7.1"/>
    <x v="0"/>
    <n v="2.9470000000000003E-2"/>
    <x v="0"/>
  </r>
  <r>
    <x v="0"/>
    <x v="40"/>
    <n v="4.1799999999999997E-3"/>
    <n v="7.5"/>
    <n v="7.1"/>
    <x v="0"/>
    <n v="2.9259999999999998E-2"/>
    <x v="0"/>
  </r>
  <r>
    <x v="3"/>
    <x v="86"/>
    <n v="1.7399999999999999E-2"/>
    <n v="7.5"/>
    <n v="7.1"/>
    <x v="0"/>
    <n v="0.12179999999999999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7.5"/>
    <n v="7.1"/>
    <x v="0"/>
    <n v="4.01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"/>
    <n v="5.3400000000000001E-3"/>
    <n v="3.52"/>
    <n v="3.12"/>
    <x v="1"/>
    <n v="1.602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2"/>
    <n v="5.8700000000000002E-3"/>
    <n v="7.5"/>
    <n v="7.1"/>
    <x v="0"/>
    <n v="4.1090000000000002E-2"/>
    <x v="0"/>
  </r>
  <r>
    <x v="0"/>
    <x v="55"/>
    <n v="4.9699999999999996E-3"/>
    <n v="7.5"/>
    <n v="7.1"/>
    <x v="0"/>
    <n v="3.4789999999999995E-2"/>
    <x v="0"/>
  </r>
  <r>
    <x v="0"/>
    <x v="28"/>
    <n v="5.7299999999999999E-3"/>
    <n v="7.5"/>
    <n v="7.1"/>
    <x v="0"/>
    <n v="4.011E-2"/>
    <x v="0"/>
  </r>
  <r>
    <x v="0"/>
    <x v="40"/>
    <n v="4.1799999999999997E-3"/>
    <n v="7.5"/>
    <n v="7.1"/>
    <x v="0"/>
    <n v="2.9259999999999998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4"/>
    <n v="6.8799999999999998E-3"/>
    <n v="3.52"/>
    <n v="3.12"/>
    <x v="1"/>
    <n v="2.0639999999999999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55"/>
    <n v="4.9699999999999996E-3"/>
    <n v="6.9950000000000001"/>
    <n v="6.5949999999999998"/>
    <x v="5"/>
    <n v="2.9819999999999999E-2"/>
    <x v="0"/>
  </r>
  <r>
    <x v="3"/>
    <x v="83"/>
    <n v="1.4999999999999999E-2"/>
    <n v="7.5"/>
    <n v="7.1"/>
    <x v="0"/>
    <n v="0.105"/>
    <x v="0"/>
  </r>
  <r>
    <x v="0"/>
    <x v="49"/>
    <n v="3.16E-3"/>
    <n v="5"/>
    <n v="4.5999999999999996"/>
    <x v="3"/>
    <n v="1.264E-2"/>
    <x v="0"/>
  </r>
  <r>
    <x v="0"/>
    <x v="28"/>
    <n v="5.7299999999999999E-3"/>
    <n v="7.5"/>
    <n v="7.1"/>
    <x v="0"/>
    <n v="4.011E-2"/>
    <x v="0"/>
  </r>
  <r>
    <x v="0"/>
    <x v="36"/>
    <n v="6.4900000000000001E-3"/>
    <n v="5.94"/>
    <n v="5.54"/>
    <x v="7"/>
    <n v="3.245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90"/>
    <n v="7.6499999999999997E-3"/>
    <n v="7.5"/>
    <n v="7.1"/>
    <x v="0"/>
    <n v="5.355E-2"/>
    <x v="0"/>
  </r>
  <r>
    <x v="0"/>
    <x v="90"/>
    <n v="7.6499999999999997E-3"/>
    <n v="7.5"/>
    <n v="7.1"/>
    <x v="0"/>
    <n v="5.355E-2"/>
    <x v="0"/>
  </r>
  <r>
    <x v="0"/>
    <x v="45"/>
    <n v="9.4500000000000001E-3"/>
    <n v="7.5"/>
    <n v="7.1"/>
    <x v="0"/>
    <n v="6.615E-2"/>
    <x v="0"/>
  </r>
  <r>
    <x v="0"/>
    <x v="23"/>
    <n v="6.6600000000000001E-3"/>
    <n v="7.5"/>
    <n v="7.1"/>
    <x v="0"/>
    <n v="4.6620000000000002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34"/>
    <n v="8.5599999999999999E-3"/>
    <n v="7.5"/>
    <n v="7.1"/>
    <x v="0"/>
    <n v="5.9920000000000001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3"/>
    <x v="20"/>
    <n v="3.5999999999999997E-2"/>
    <n v="6.48"/>
    <n v="6.08"/>
    <x v="5"/>
    <n v="0.21599999999999997"/>
    <x v="1"/>
  </r>
  <r>
    <x v="0"/>
    <x v="48"/>
    <n v="7.62E-3"/>
    <n v="7.5"/>
    <n v="7.1"/>
    <x v="0"/>
    <n v="5.3339999999999999E-2"/>
    <x v="0"/>
  </r>
  <r>
    <x v="0"/>
    <x v="79"/>
    <n v="1.04E-2"/>
    <n v="7.5"/>
    <n v="7.1"/>
    <x v="0"/>
    <n v="7.2800000000000004E-2"/>
    <x v="0"/>
  </r>
  <r>
    <x v="0"/>
    <x v="79"/>
    <n v="1.04E-2"/>
    <n v="8.67"/>
    <n v="8.27"/>
    <x v="11"/>
    <n v="8.3199999999999996E-2"/>
    <x v="0"/>
  </r>
  <r>
    <x v="0"/>
    <x v="87"/>
    <n v="6.8999999999999999E-3"/>
    <n v="7.5"/>
    <n v="7.1"/>
    <x v="0"/>
    <n v="4.8299999999999996E-2"/>
    <x v="0"/>
  </r>
  <r>
    <x v="0"/>
    <x v="67"/>
    <n v="1.29E-2"/>
    <n v="5.94"/>
    <n v="5.54"/>
    <x v="7"/>
    <n v="6.4500000000000002E-2"/>
    <x v="0"/>
  </r>
  <r>
    <x v="3"/>
    <x v="80"/>
    <n v="3.0599999999999999E-2"/>
    <n v="7.5"/>
    <n v="7.1"/>
    <x v="0"/>
    <n v="0.2142"/>
    <x v="0"/>
  </r>
  <r>
    <x v="0"/>
    <x v="90"/>
    <n v="7.6499999999999997E-3"/>
    <n v="7.5"/>
    <n v="7.1"/>
    <x v="0"/>
    <n v="5.355E-2"/>
    <x v="0"/>
  </r>
  <r>
    <x v="0"/>
    <x v="48"/>
    <n v="7.62E-3"/>
    <n v="7.5"/>
    <n v="7.1"/>
    <x v="0"/>
    <n v="5.3339999999999999E-2"/>
    <x v="0"/>
  </r>
  <r>
    <x v="0"/>
    <x v="33"/>
    <n v="1.29E-2"/>
    <n v="7.5"/>
    <n v="7.1"/>
    <x v="0"/>
    <n v="9.0300000000000005E-2"/>
    <x v="0"/>
  </r>
  <r>
    <x v="0"/>
    <x v="33"/>
    <n v="1.29E-2"/>
    <n v="7.5"/>
    <n v="7.1"/>
    <x v="0"/>
    <n v="9.0300000000000005E-2"/>
    <x v="0"/>
  </r>
  <r>
    <x v="0"/>
    <x v="82"/>
    <n v="1.5900000000000001E-2"/>
    <n v="9.7949999999999999"/>
    <n v="9.3949999999999996"/>
    <x v="9"/>
    <n v="0.1431"/>
    <x v="0"/>
  </r>
  <r>
    <x v="3"/>
    <x v="84"/>
    <n v="1.23E-2"/>
    <n v="7.5"/>
    <n v="7.1"/>
    <x v="0"/>
    <n v="8.6099999999999996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3"/>
    <x v="91"/>
    <n v="1.1299999999999999E-2"/>
    <n v="2.17"/>
    <n v="1.77"/>
    <x v="2"/>
    <n v="1.1299999999999999E-2"/>
    <x v="0"/>
  </r>
  <r>
    <x v="3"/>
    <x v="91"/>
    <n v="1.1299999999999999E-2"/>
    <n v="1.81"/>
    <n v="1.4100000000000001"/>
    <x v="2"/>
    <n v="1.1299999999999999E-2"/>
    <x v="0"/>
  </r>
  <r>
    <x v="0"/>
    <x v="24"/>
    <n v="2.8E-3"/>
    <n v="2.9729999999999999"/>
    <n v="2.573"/>
    <x v="6"/>
    <n v="5.5999999999999999E-3"/>
    <x v="0"/>
  </r>
  <r>
    <x v="0"/>
    <x v="24"/>
    <n v="2.8E-3"/>
    <n v="5.6872600000000002"/>
    <n v="5.2872599999999998"/>
    <x v="7"/>
    <n v="1.4E-2"/>
    <x v="0"/>
  </r>
  <r>
    <x v="0"/>
    <x v="24"/>
    <n v="2.8E-3"/>
    <n v="2.1705399999999999"/>
    <n v="1.77054"/>
    <x v="2"/>
    <n v="2.8E-3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1.7395"/>
    <n v="1.3395000000000001"/>
    <x v="2"/>
    <n v="2.8E-3"/>
    <x v="0"/>
  </r>
  <r>
    <x v="0"/>
    <x v="24"/>
    <n v="2.8E-3"/>
    <n v="2.5"/>
    <n v="2.1"/>
    <x v="6"/>
    <n v="5.5999999999999999E-3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1349999999999998"/>
    <n v="1.7349999999999999"/>
    <x v="2"/>
    <n v="2.8E-3"/>
    <x v="0"/>
  </r>
  <r>
    <x v="0"/>
    <x v="24"/>
    <n v="2.8E-3"/>
    <n v="2.1349999999999998"/>
    <n v="1.7349999999999999"/>
    <x v="2"/>
    <n v="2.8E-3"/>
    <x v="0"/>
  </r>
  <r>
    <x v="0"/>
    <x v="24"/>
    <n v="2.8E-3"/>
    <n v="1.615"/>
    <n v="1.2149999999999999"/>
    <x v="2"/>
    <n v="2.8E-3"/>
    <x v="0"/>
  </r>
  <r>
    <x v="0"/>
    <x v="24"/>
    <n v="2.8E-3"/>
    <n v="1.615"/>
    <n v="1.2149999999999999"/>
    <x v="2"/>
    <n v="2.8E-3"/>
    <x v="0"/>
  </r>
  <r>
    <x v="0"/>
    <x v="37"/>
    <n v="3.5899999999999999E-3"/>
    <n v="6.9950000000000001"/>
    <n v="6.5949999999999998"/>
    <x v="5"/>
    <n v="2.154E-2"/>
    <x v="0"/>
  </r>
  <r>
    <x v="0"/>
    <x v="47"/>
    <n v="9.4599999999999997E-3"/>
    <n v="6.9950000000000001"/>
    <n v="6.5949999999999998"/>
    <x v="5"/>
    <n v="5.6759999999999998E-2"/>
    <x v="0"/>
  </r>
  <r>
    <x v="0"/>
    <x v="49"/>
    <n v="3.16E-3"/>
    <n v="6.9950000000000001"/>
    <n v="6.5949999999999998"/>
    <x v="5"/>
    <n v="1.896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7.5"/>
    <n v="7.1"/>
    <x v="0"/>
    <n v="4.011E-2"/>
    <x v="0"/>
  </r>
  <r>
    <x v="0"/>
    <x v="87"/>
    <n v="6.8999999999999999E-3"/>
    <n v="7.5"/>
    <n v="7.1"/>
    <x v="0"/>
    <n v="4.8299999999999996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71"/>
    <n v="8.5500000000000003E-3"/>
    <n v="7.1"/>
    <n v="6.6999999999999993"/>
    <x v="5"/>
    <n v="5.1299999999999998E-2"/>
    <x v="0"/>
  </r>
  <r>
    <x v="0"/>
    <x v="24"/>
    <n v="2.8E-3"/>
    <n v="3.75"/>
    <n v="3.35"/>
    <x v="1"/>
    <n v="8.3999999999999995E-3"/>
    <x v="0"/>
  </r>
  <r>
    <x v="0"/>
    <x v="92"/>
    <n v="1.78E-2"/>
    <n v="3.75"/>
    <n v="3.35"/>
    <x v="1"/>
    <n v="5.3400000000000003E-2"/>
    <x v="1"/>
  </r>
  <r>
    <x v="0"/>
    <x v="24"/>
    <n v="2.8E-3"/>
    <n v="3.75"/>
    <n v="3.35"/>
    <x v="1"/>
    <n v="8.3999999999999995E-3"/>
    <x v="0"/>
  </r>
  <r>
    <x v="0"/>
    <x v="24"/>
    <n v="2.8E-3"/>
    <n v="3.282"/>
    <n v="2.8820000000000001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282"/>
    <n v="2.8820000000000001"/>
    <x v="6"/>
    <n v="5.5999999999999999E-3"/>
    <x v="0"/>
  </r>
  <r>
    <x v="0"/>
    <x v="29"/>
    <n v="1.5900000000000001E-2"/>
    <n v="3.75"/>
    <n v="3.35"/>
    <x v="1"/>
    <n v="4.7700000000000006E-2"/>
    <x v="0"/>
  </r>
  <r>
    <x v="0"/>
    <x v="24"/>
    <n v="2.8E-3"/>
    <n v="2.5"/>
    <n v="2.1"/>
    <x v="6"/>
    <n v="5.5999999999999999E-3"/>
    <x v="0"/>
  </r>
  <r>
    <x v="0"/>
    <x v="24"/>
    <n v="2.8E-3"/>
    <n v="2.1349999999999998"/>
    <n v="1.7349999999999999"/>
    <x v="2"/>
    <n v="2.8E-3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47"/>
    <n v="9.4599999999999997E-3"/>
    <n v="5"/>
    <n v="4.5999999999999996"/>
    <x v="3"/>
    <n v="3.7839999999999999E-2"/>
    <x v="0"/>
  </r>
  <r>
    <x v="0"/>
    <x v="47"/>
    <n v="9.4599999999999997E-3"/>
    <n v="2.5"/>
    <n v="2.1"/>
    <x v="6"/>
    <n v="1.8919999999999999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24"/>
    <n v="2.8E-3"/>
    <n v="3.282"/>
    <n v="2.8820000000000001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282"/>
    <n v="2.8820000000000001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24"/>
    <n v="2.8E-3"/>
    <n v="6.375"/>
    <n v="5.9749999999999996"/>
    <x v="7"/>
    <n v="1.4E-2"/>
    <x v="0"/>
  </r>
  <r>
    <x v="0"/>
    <x v="24"/>
    <n v="2.8E-3"/>
    <n v="2.5"/>
    <n v="2.1"/>
    <x v="6"/>
    <n v="5.5999999999999999E-3"/>
    <x v="0"/>
  </r>
  <r>
    <x v="0"/>
    <x v="39"/>
    <n v="3.2000000000000002E-3"/>
    <n v="4.085"/>
    <n v="3.6850000000000001"/>
    <x v="1"/>
    <n v="9.6000000000000009E-3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44"/>
    <n v="1.0500000000000001E-2"/>
    <n v="7.5"/>
    <n v="7.1"/>
    <x v="0"/>
    <n v="7.35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7.5"/>
    <n v="7.1"/>
    <x v="0"/>
    <n v="3.4789999999999995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7.5"/>
    <n v="7.1"/>
    <x v="0"/>
    <n v="4.01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6"/>
    <n v="3.6099999999999999E-3"/>
    <n v="7.5"/>
    <n v="7.1"/>
    <x v="0"/>
    <n v="2.5270000000000001E-2"/>
    <x v="0"/>
  </r>
  <r>
    <x v="0"/>
    <x v="40"/>
    <n v="4.1799999999999997E-3"/>
    <n v="7.5"/>
    <n v="7.1"/>
    <x v="0"/>
    <n v="2.9259999999999998E-2"/>
    <x v="0"/>
  </r>
  <r>
    <x v="0"/>
    <x v="49"/>
    <n v="3.16E-3"/>
    <n v="3.52"/>
    <n v="3.12"/>
    <x v="1"/>
    <n v="9.4800000000000006E-3"/>
    <x v="0"/>
  </r>
  <r>
    <x v="3"/>
    <x v="84"/>
    <n v="1.23E-2"/>
    <n v="7.5"/>
    <n v="7.1"/>
    <x v="0"/>
    <n v="8.609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2"/>
    <n v="5.8700000000000002E-3"/>
    <n v="8.67"/>
    <n v="8.27"/>
    <x v="11"/>
    <n v="4.696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28"/>
    <n v="5.7299999999999999E-3"/>
    <n v="7.5"/>
    <n v="7.1"/>
    <x v="0"/>
    <n v="4.011E-2"/>
    <x v="0"/>
  </r>
  <r>
    <x v="0"/>
    <x v="28"/>
    <n v="5.7299999999999999E-3"/>
    <n v="7.5"/>
    <n v="7.1"/>
    <x v="0"/>
    <n v="4.011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90"/>
    <n v="7.6499999999999997E-3"/>
    <n v="7.5"/>
    <n v="7.1"/>
    <x v="0"/>
    <n v="5.355E-2"/>
    <x v="0"/>
  </r>
  <r>
    <x v="0"/>
    <x v="71"/>
    <n v="8.5500000000000003E-3"/>
    <n v="7.1"/>
    <n v="6.6999999999999993"/>
    <x v="5"/>
    <n v="5.1299999999999998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3"/>
    <x v="69"/>
    <n v="2.52E-2"/>
    <n v="7.5"/>
    <n v="7.1"/>
    <x v="0"/>
    <n v="0.1764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79"/>
    <n v="1.04E-2"/>
    <n v="8.67"/>
    <n v="8.27"/>
    <x v="11"/>
    <n v="8.3199999999999996E-2"/>
    <x v="0"/>
  </r>
  <r>
    <x v="0"/>
    <x v="79"/>
    <n v="1.04E-2"/>
    <n v="7.5"/>
    <n v="7.1"/>
    <x v="0"/>
    <n v="7.2800000000000004E-2"/>
    <x v="0"/>
  </r>
  <r>
    <x v="0"/>
    <x v="67"/>
    <n v="1.29E-2"/>
    <n v="5.94"/>
    <n v="5.54"/>
    <x v="7"/>
    <n v="6.4500000000000002E-2"/>
    <x v="0"/>
  </r>
  <r>
    <x v="0"/>
    <x v="33"/>
    <n v="1.29E-2"/>
    <n v="7.5"/>
    <n v="7.1"/>
    <x v="0"/>
    <n v="9.0300000000000005E-2"/>
    <x v="0"/>
  </r>
  <r>
    <x v="0"/>
    <x v="67"/>
    <n v="1.29E-2"/>
    <n v="7.5"/>
    <n v="7.1"/>
    <x v="0"/>
    <n v="9.0300000000000005E-2"/>
    <x v="0"/>
  </r>
  <r>
    <x v="0"/>
    <x v="82"/>
    <n v="1.5900000000000001E-2"/>
    <n v="9.7949999999999999"/>
    <n v="9.3949999999999996"/>
    <x v="9"/>
    <n v="0.1431"/>
    <x v="0"/>
  </r>
  <r>
    <x v="0"/>
    <x v="92"/>
    <n v="1.78E-2"/>
    <n v="3.75"/>
    <n v="3.35"/>
    <x v="1"/>
    <n v="5.3400000000000003E-2"/>
    <x v="1"/>
  </r>
  <r>
    <x v="3"/>
    <x v="84"/>
    <n v="1.23E-2"/>
    <n v="7.5"/>
    <n v="7.1"/>
    <x v="0"/>
    <n v="8.6099999999999996E-2"/>
    <x v="0"/>
  </r>
  <r>
    <x v="0"/>
    <x v="71"/>
    <n v="8.5500000000000003E-3"/>
    <n v="4.0209999999999999"/>
    <n v="3.621"/>
    <x v="1"/>
    <n v="2.5649999999999999E-2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1"/>
    <n v="4.9800000000000001E-3"/>
    <n v="6.9950000000000001"/>
    <n v="6.5949999999999998"/>
    <x v="5"/>
    <n v="2.988E-2"/>
    <x v="0"/>
  </r>
  <r>
    <x v="7"/>
    <x v="93"/>
    <n v="1.47E-2"/>
    <n v="7.5"/>
    <n v="7.1"/>
    <x v="0"/>
    <n v="0.10289999999999999"/>
    <x v="1"/>
  </r>
  <r>
    <x v="7"/>
    <x v="93"/>
    <n v="1.47E-2"/>
    <n v="7.5"/>
    <n v="7.1"/>
    <x v="0"/>
    <n v="0.10289999999999999"/>
    <x v="1"/>
  </r>
  <r>
    <x v="0"/>
    <x v="37"/>
    <n v="3.5899999999999999E-3"/>
    <n v="7.5"/>
    <n v="7.1"/>
    <x v="0"/>
    <n v="2.513E-2"/>
    <x v="0"/>
  </r>
  <r>
    <x v="0"/>
    <x v="37"/>
    <n v="3.5899999999999999E-3"/>
    <n v="7.05"/>
    <n v="6.6499999999999995"/>
    <x v="5"/>
    <n v="2.154E-2"/>
    <x v="0"/>
  </r>
  <r>
    <x v="5"/>
    <x v="94"/>
    <n v="2.1100000000000001E-2"/>
    <n v="0.63500000000000001"/>
    <n v="0.23499999999999999"/>
    <x v="4"/>
    <n v="0"/>
    <x v="1"/>
  </r>
  <r>
    <x v="0"/>
    <x v="24"/>
    <n v="2.8E-3"/>
    <n v="3.52"/>
    <n v="3.12"/>
    <x v="1"/>
    <n v="8.3999999999999995E-3"/>
    <x v="0"/>
  </r>
  <r>
    <x v="0"/>
    <x v="24"/>
    <n v="2.8E-3"/>
    <n v="5.6583459999999999"/>
    <n v="5.2583459999999995"/>
    <x v="7"/>
    <n v="1.4E-2"/>
    <x v="0"/>
  </r>
  <r>
    <x v="0"/>
    <x v="24"/>
    <n v="2.8E-3"/>
    <n v="2.9729999999999999"/>
    <n v="2.573"/>
    <x v="6"/>
    <n v="5.5999999999999999E-3"/>
    <x v="0"/>
  </r>
  <r>
    <x v="0"/>
    <x v="49"/>
    <n v="3.16E-3"/>
    <n v="3.98"/>
    <n v="3.58"/>
    <x v="1"/>
    <n v="9.4800000000000006E-3"/>
    <x v="0"/>
  </r>
  <r>
    <x v="0"/>
    <x v="24"/>
    <n v="2.8E-3"/>
    <n v="2.9729999999999999"/>
    <n v="2.573"/>
    <x v="6"/>
    <n v="5.5999999999999999E-3"/>
    <x v="0"/>
  </r>
  <r>
    <x v="0"/>
    <x v="24"/>
    <n v="2.8E-3"/>
    <n v="2.1928990000000002"/>
    <n v="1.7928990000000002"/>
    <x v="2"/>
    <n v="2.8E-3"/>
    <x v="0"/>
  </r>
  <r>
    <x v="0"/>
    <x v="55"/>
    <n v="4.9699999999999996E-3"/>
    <n v="6.9950000000000001"/>
    <n v="6.5949999999999998"/>
    <x v="5"/>
    <n v="2.9819999999999999E-2"/>
    <x v="0"/>
  </r>
  <r>
    <x v="0"/>
    <x v="71"/>
    <n v="8.5500000000000003E-3"/>
    <n v="3.52"/>
    <n v="3.12"/>
    <x v="1"/>
    <n v="2.5649999999999999E-2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3"/>
    <x v="95"/>
    <n v="4.3299999999999998E-2"/>
    <n v="7.5"/>
    <n v="7.1"/>
    <x v="0"/>
    <n v="0.30309999999999998"/>
    <x v="1"/>
  </r>
  <r>
    <x v="0"/>
    <x v="24"/>
    <n v="2.8E-3"/>
    <n v="2.5"/>
    <n v="2.1"/>
    <x v="6"/>
    <n v="5.5999999999999999E-3"/>
    <x v="0"/>
  </r>
  <r>
    <x v="3"/>
    <x v="20"/>
    <n v="3.5999999999999997E-2"/>
    <n v="3.98"/>
    <n v="3.58"/>
    <x v="1"/>
    <n v="0.10799999999999998"/>
    <x v="1"/>
  </r>
  <r>
    <x v="0"/>
    <x v="24"/>
    <n v="2.8E-3"/>
    <n v="1.39"/>
    <n v="0.98999999999999988"/>
    <x v="4"/>
    <n v="0"/>
    <x v="0"/>
  </r>
  <r>
    <x v="0"/>
    <x v="37"/>
    <n v="3.5899999999999999E-3"/>
    <n v="3.8849999999999998"/>
    <n v="3.4849999999999999"/>
    <x v="1"/>
    <n v="1.077E-2"/>
    <x v="0"/>
  </r>
  <r>
    <x v="0"/>
    <x v="28"/>
    <n v="5.7299999999999999E-3"/>
    <n v="3.8849999999999998"/>
    <n v="3.4849999999999999"/>
    <x v="1"/>
    <n v="1.719E-2"/>
    <x v="0"/>
  </r>
  <r>
    <x v="0"/>
    <x v="24"/>
    <n v="2.8E-3"/>
    <n v="2.3119999999999998"/>
    <n v="1.9119999999999999"/>
    <x v="2"/>
    <n v="2.8E-3"/>
    <x v="0"/>
  </r>
  <r>
    <x v="0"/>
    <x v="46"/>
    <n v="3.6099999999999999E-3"/>
    <n v="4.03"/>
    <n v="3.6300000000000003"/>
    <x v="1"/>
    <n v="1.0829999999999999E-2"/>
    <x v="0"/>
  </r>
  <r>
    <x v="0"/>
    <x v="46"/>
    <n v="3.6099999999999999E-3"/>
    <n v="2.08"/>
    <n v="1.6800000000000002"/>
    <x v="2"/>
    <n v="3.6099999999999999E-3"/>
    <x v="0"/>
  </r>
  <r>
    <x v="3"/>
    <x v="86"/>
    <n v="1.7399999999999999E-2"/>
    <n v="7.5"/>
    <n v="7.1"/>
    <x v="0"/>
    <n v="0.12179999999999999"/>
    <x v="0"/>
  </r>
  <r>
    <x v="0"/>
    <x v="37"/>
    <n v="3.5899999999999999E-3"/>
    <n v="5.625"/>
    <n v="5.2249999999999996"/>
    <x v="7"/>
    <n v="1.7950000000000001E-2"/>
    <x v="0"/>
  </r>
  <r>
    <x v="0"/>
    <x v="37"/>
    <n v="3.5899999999999999E-3"/>
    <n v="5.625"/>
    <n v="5.2249999999999996"/>
    <x v="7"/>
    <n v="1.7950000000000001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1.54"/>
    <n v="1.1400000000000001"/>
    <x v="2"/>
    <n v="2.8E-3"/>
    <x v="0"/>
  </r>
  <r>
    <x v="0"/>
    <x v="24"/>
    <n v="2.8E-3"/>
    <n v="1.875"/>
    <n v="1.4750000000000001"/>
    <x v="2"/>
    <n v="2.8E-3"/>
    <x v="0"/>
  </r>
  <r>
    <x v="0"/>
    <x v="24"/>
    <n v="2.8E-3"/>
    <n v="1.54"/>
    <n v="1.1400000000000001"/>
    <x v="2"/>
    <n v="2.8E-3"/>
    <x v="0"/>
  </r>
  <r>
    <x v="0"/>
    <x v="24"/>
    <n v="2.8E-3"/>
    <n v="5.877472"/>
    <n v="5.4774719999999997"/>
    <x v="7"/>
    <n v="1.4E-2"/>
    <x v="0"/>
  </r>
  <r>
    <x v="0"/>
    <x v="24"/>
    <n v="2.8E-3"/>
    <n v="3.4780000000000002"/>
    <n v="3.0780000000000003"/>
    <x v="1"/>
    <n v="8.3999999999999995E-3"/>
    <x v="0"/>
  </r>
  <r>
    <x v="0"/>
    <x v="24"/>
    <n v="2.8E-3"/>
    <n v="2.5409999999999999"/>
    <n v="2.141"/>
    <x v="6"/>
    <n v="5.5999999999999999E-3"/>
    <x v="0"/>
  </r>
  <r>
    <x v="0"/>
    <x v="24"/>
    <n v="2.8E-3"/>
    <n v="3.4780000000000002"/>
    <n v="3.0780000000000003"/>
    <x v="1"/>
    <n v="8.3999999999999995E-3"/>
    <x v="0"/>
  </r>
  <r>
    <x v="0"/>
    <x v="24"/>
    <n v="2.8E-3"/>
    <n v="3.4780000000000002"/>
    <n v="3.0780000000000003"/>
    <x v="1"/>
    <n v="8.3999999999999995E-3"/>
    <x v="0"/>
  </r>
  <r>
    <x v="0"/>
    <x v="40"/>
    <n v="4.1799999999999997E-3"/>
    <n v="4.1559999999999997"/>
    <n v="3.7559999999999998"/>
    <x v="1"/>
    <n v="1.2539999999999999E-2"/>
    <x v="0"/>
  </r>
  <r>
    <x v="5"/>
    <x v="94"/>
    <n v="2.1100000000000001E-2"/>
    <n v="6.6998810000000004"/>
    <n v="6.2998810000000001"/>
    <x v="5"/>
    <n v="0.12659999999999999"/>
    <x v="1"/>
  </r>
  <r>
    <x v="5"/>
    <x v="59"/>
    <n v="1.47E-2"/>
    <n v="6.6998810000000004"/>
    <n v="6.2998810000000001"/>
    <x v="5"/>
    <n v="8.8200000000000001E-2"/>
    <x v="0"/>
  </r>
  <r>
    <x v="0"/>
    <x v="29"/>
    <n v="1.5900000000000001E-2"/>
    <n v="3.75"/>
    <n v="3.35"/>
    <x v="1"/>
    <n v="4.7700000000000006E-2"/>
    <x v="0"/>
  </r>
  <r>
    <x v="5"/>
    <x v="59"/>
    <n v="1.47E-2"/>
    <n v="1.1399999999999999"/>
    <n v="0.73999999999999988"/>
    <x v="4"/>
    <n v="0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31"/>
    <n v="8.5500000000000003E-3"/>
    <n v="5"/>
    <n v="4.5999999999999996"/>
    <x v="3"/>
    <n v="3.4200000000000001E-2"/>
    <x v="1"/>
  </r>
  <r>
    <x v="0"/>
    <x v="31"/>
    <n v="8.5500000000000003E-3"/>
    <n v="2.5"/>
    <n v="2.1"/>
    <x v="6"/>
    <n v="1.7100000000000001E-2"/>
    <x v="1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6.375"/>
    <n v="5.9749999999999996"/>
    <x v="7"/>
    <n v="1.4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3.75"/>
    <n v="3.35"/>
    <x v="1"/>
    <n v="8.3999999999999995E-3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6.06"/>
    <n v="5.6599999999999993"/>
    <x v="7"/>
    <n v="1.7950000000000001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40"/>
    <n v="4.1799999999999997E-3"/>
    <n v="6.33"/>
    <n v="5.93"/>
    <x v="7"/>
    <n v="2.089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7.5"/>
    <n v="7.1"/>
    <x v="0"/>
    <n v="3.4789999999999995E-2"/>
    <x v="0"/>
  </r>
  <r>
    <x v="0"/>
    <x v="28"/>
    <n v="5.7299999999999999E-3"/>
    <n v="7.5"/>
    <n v="7.1"/>
    <x v="0"/>
    <n v="4.011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43"/>
    <n v="4.2100000000000002E-3"/>
    <n v="7.5"/>
    <n v="7.1"/>
    <x v="0"/>
    <n v="2.9470000000000003E-2"/>
    <x v="0"/>
  </r>
  <r>
    <x v="0"/>
    <x v="10"/>
    <n v="7.26E-3"/>
    <n v="7.5"/>
    <n v="7.1"/>
    <x v="0"/>
    <n v="5.0819999999999997E-2"/>
    <x v="0"/>
  </r>
  <r>
    <x v="0"/>
    <x v="55"/>
    <n v="4.9699999999999996E-3"/>
    <n v="6.9950000000000001"/>
    <n v="6.5949999999999998"/>
    <x v="5"/>
    <n v="2.9819999999999999E-2"/>
    <x v="0"/>
  </r>
  <r>
    <x v="0"/>
    <x v="23"/>
    <n v="6.6600000000000001E-3"/>
    <n v="7.5"/>
    <n v="7.1"/>
    <x v="0"/>
    <n v="4.6620000000000002E-2"/>
    <x v="0"/>
  </r>
  <r>
    <x v="0"/>
    <x v="28"/>
    <n v="5.7299999999999999E-3"/>
    <n v="7.5"/>
    <n v="7.1"/>
    <x v="0"/>
    <n v="4.011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90"/>
    <n v="7.6499999999999997E-3"/>
    <n v="7.5"/>
    <n v="7.1"/>
    <x v="0"/>
    <n v="5.355E-2"/>
    <x v="0"/>
  </r>
  <r>
    <x v="0"/>
    <x v="24"/>
    <n v="2.8E-3"/>
    <n v="4.0209999999999999"/>
    <n v="3.621"/>
    <x v="1"/>
    <n v="8.3999999999999995E-3"/>
    <x v="0"/>
  </r>
  <r>
    <x v="0"/>
    <x v="55"/>
    <n v="4.9699999999999996E-3"/>
    <n v="7.5"/>
    <n v="7.1"/>
    <x v="0"/>
    <n v="3.4789999999999995E-2"/>
    <x v="0"/>
  </r>
  <r>
    <x v="0"/>
    <x v="23"/>
    <n v="6.6600000000000001E-3"/>
    <n v="7.5"/>
    <n v="7.1"/>
    <x v="0"/>
    <n v="4.6620000000000002E-2"/>
    <x v="0"/>
  </r>
  <r>
    <x v="0"/>
    <x v="55"/>
    <n v="4.9699999999999996E-3"/>
    <n v="7.5"/>
    <n v="7.1"/>
    <x v="0"/>
    <n v="3.4789999999999995E-2"/>
    <x v="0"/>
  </r>
  <r>
    <x v="0"/>
    <x v="43"/>
    <n v="4.2100000000000002E-3"/>
    <n v="7.5"/>
    <n v="7.1"/>
    <x v="0"/>
    <n v="2.9470000000000003E-2"/>
    <x v="0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88"/>
    <n v="1.14E-2"/>
    <n v="7.5"/>
    <n v="7.1"/>
    <x v="0"/>
    <n v="7.980000000000001E-2"/>
    <x v="1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67"/>
    <n v="1.29E-2"/>
    <n v="7.5"/>
    <n v="7.1"/>
    <x v="0"/>
    <n v="9.0300000000000005E-2"/>
    <x v="0"/>
  </r>
  <r>
    <x v="0"/>
    <x v="79"/>
    <n v="1.04E-2"/>
    <n v="8.67"/>
    <n v="8.27"/>
    <x v="11"/>
    <n v="8.3199999999999996E-2"/>
    <x v="0"/>
  </r>
  <r>
    <x v="0"/>
    <x v="74"/>
    <n v="2.8899999999999999E-2"/>
    <n v="7.5"/>
    <n v="7.1"/>
    <x v="0"/>
    <n v="0.20229999999999998"/>
    <x v="1"/>
  </r>
  <r>
    <x v="0"/>
    <x v="55"/>
    <n v="4.9699999999999996E-3"/>
    <n v="7.5"/>
    <n v="7.1"/>
    <x v="0"/>
    <n v="3.4789999999999995E-2"/>
    <x v="0"/>
  </r>
  <r>
    <x v="0"/>
    <x v="38"/>
    <n v="1.17E-2"/>
    <n v="7.5"/>
    <n v="7.1"/>
    <x v="0"/>
    <n v="8.1900000000000001E-2"/>
    <x v="0"/>
  </r>
  <r>
    <x v="0"/>
    <x v="82"/>
    <n v="1.5900000000000001E-2"/>
    <n v="9.7949999999999999"/>
    <n v="9.3949999999999996"/>
    <x v="9"/>
    <n v="0.1431"/>
    <x v="0"/>
  </r>
  <r>
    <x v="3"/>
    <x v="84"/>
    <n v="1.23E-2"/>
    <n v="7.5"/>
    <n v="7.1"/>
    <x v="0"/>
    <n v="8.6099999999999996E-2"/>
    <x v="0"/>
  </r>
  <r>
    <x v="3"/>
    <x v="84"/>
    <n v="1.23E-2"/>
    <n v="7.5"/>
    <n v="7.1"/>
    <x v="0"/>
    <n v="8.6099999999999996E-2"/>
    <x v="0"/>
  </r>
  <r>
    <x v="7"/>
    <x v="93"/>
    <n v="1.47E-2"/>
    <n v="7.5"/>
    <n v="7.1"/>
    <x v="0"/>
    <n v="0.10289999999999999"/>
    <x v="1"/>
  </r>
  <r>
    <x v="0"/>
    <x v="24"/>
    <n v="2.8E-3"/>
    <n v="3.75"/>
    <n v="3.35"/>
    <x v="1"/>
    <n v="8.3999999999999995E-3"/>
    <x v="0"/>
  </r>
  <r>
    <x v="0"/>
    <x v="29"/>
    <n v="1.5900000000000001E-2"/>
    <n v="3.75"/>
    <n v="3.35"/>
    <x v="1"/>
    <n v="4.7700000000000006E-2"/>
    <x v="0"/>
  </r>
  <r>
    <x v="0"/>
    <x v="38"/>
    <n v="1.17E-2"/>
    <n v="1.609"/>
    <n v="1.2090000000000001"/>
    <x v="2"/>
    <n v="1.17E-2"/>
    <x v="0"/>
  </r>
  <r>
    <x v="0"/>
    <x v="24"/>
    <n v="2.8E-3"/>
    <n v="2.4707300000000001"/>
    <n v="2.0707300000000002"/>
    <x v="6"/>
    <n v="5.5999999999999999E-3"/>
    <x v="0"/>
  </r>
  <r>
    <x v="0"/>
    <x v="24"/>
    <n v="2.8E-3"/>
    <n v="2.4707300000000001"/>
    <n v="2.0707300000000002"/>
    <x v="6"/>
    <n v="5.5999999999999999E-3"/>
    <x v="0"/>
  </r>
  <r>
    <x v="0"/>
    <x v="24"/>
    <n v="2.8E-3"/>
    <n v="5.6872600000000002"/>
    <n v="5.2872599999999998"/>
    <x v="7"/>
    <n v="1.4E-2"/>
    <x v="0"/>
  </r>
  <r>
    <x v="0"/>
    <x v="24"/>
    <n v="2.8E-3"/>
    <n v="2.0110000000000001"/>
    <n v="1.6110000000000002"/>
    <x v="2"/>
    <n v="2.8E-3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48"/>
    <n v="7.62E-3"/>
    <n v="7.5"/>
    <n v="7.1"/>
    <x v="0"/>
    <n v="5.3339999999999999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37"/>
    <n v="3.5899999999999999E-3"/>
    <n v="7.5"/>
    <n v="7.1"/>
    <x v="0"/>
    <n v="2.513E-2"/>
    <x v="0"/>
  </r>
  <r>
    <x v="5"/>
    <x v="59"/>
    <n v="1.47E-2"/>
    <n v="1.1399999999999999"/>
    <n v="0.73999999999999988"/>
    <x v="4"/>
    <n v="0"/>
    <x v="0"/>
  </r>
  <r>
    <x v="5"/>
    <x v="59"/>
    <n v="1.47E-2"/>
    <n v="0.63500000000000001"/>
    <n v="0.23499999999999999"/>
    <x v="4"/>
    <n v="0"/>
    <x v="0"/>
  </r>
  <r>
    <x v="0"/>
    <x v="37"/>
    <n v="3.5899999999999999E-3"/>
    <n v="7.05"/>
    <n v="6.6499999999999995"/>
    <x v="5"/>
    <n v="2.154E-2"/>
    <x v="0"/>
  </r>
  <r>
    <x v="5"/>
    <x v="94"/>
    <n v="2.1100000000000001E-2"/>
    <n v="1.1399999999999999"/>
    <n v="0.73999999999999988"/>
    <x v="4"/>
    <n v="0"/>
    <x v="1"/>
  </r>
  <r>
    <x v="5"/>
    <x v="59"/>
    <n v="1.47E-2"/>
    <n v="1.1399999999999999"/>
    <n v="0.73999999999999988"/>
    <x v="4"/>
    <n v="0"/>
    <x v="0"/>
  </r>
  <r>
    <x v="0"/>
    <x v="37"/>
    <n v="3.5899999999999999E-3"/>
    <n v="7.05"/>
    <n v="6.6499999999999995"/>
    <x v="5"/>
    <n v="2.154E-2"/>
    <x v="0"/>
  </r>
  <r>
    <x v="0"/>
    <x v="55"/>
    <n v="4.9699999999999996E-3"/>
    <n v="1.875"/>
    <n v="1.4750000000000001"/>
    <x v="2"/>
    <n v="4.9699999999999996E-3"/>
    <x v="0"/>
  </r>
  <r>
    <x v="0"/>
    <x v="55"/>
    <n v="4.9699999999999996E-3"/>
    <n v="1.54"/>
    <n v="1.1400000000000001"/>
    <x v="2"/>
    <n v="4.9699999999999996E-3"/>
    <x v="0"/>
  </r>
  <r>
    <x v="0"/>
    <x v="55"/>
    <n v="4.9699999999999996E-3"/>
    <n v="4.085"/>
    <n v="3.6850000000000001"/>
    <x v="1"/>
    <n v="1.491E-2"/>
    <x v="0"/>
  </r>
  <r>
    <x v="0"/>
    <x v="23"/>
    <n v="6.6600000000000001E-3"/>
    <n v="7.5"/>
    <n v="7.1"/>
    <x v="0"/>
    <n v="4.6620000000000002E-2"/>
    <x v="0"/>
  </r>
  <r>
    <x v="0"/>
    <x v="24"/>
    <n v="2.8E-3"/>
    <n v="4.085"/>
    <n v="3.6850000000000001"/>
    <x v="1"/>
    <n v="8.3999999999999995E-3"/>
    <x v="0"/>
  </r>
  <r>
    <x v="0"/>
    <x v="24"/>
    <n v="2.8E-3"/>
    <n v="4.085"/>
    <n v="3.6850000000000001"/>
    <x v="1"/>
    <n v="8.3999999999999995E-3"/>
    <x v="0"/>
  </r>
  <r>
    <x v="0"/>
    <x v="24"/>
    <n v="2.8E-3"/>
    <n v="1.54"/>
    <n v="1.1400000000000001"/>
    <x v="2"/>
    <n v="2.8E-3"/>
    <x v="0"/>
  </r>
  <r>
    <x v="0"/>
    <x v="24"/>
    <n v="2.8E-3"/>
    <n v="1.875"/>
    <n v="1.4750000000000001"/>
    <x v="2"/>
    <n v="2.8E-3"/>
    <x v="0"/>
  </r>
  <r>
    <x v="0"/>
    <x v="24"/>
    <n v="2.8E-3"/>
    <n v="1.44"/>
    <n v="1.04"/>
    <x v="2"/>
    <n v="2.8E-3"/>
    <x v="0"/>
  </r>
  <r>
    <x v="0"/>
    <x v="24"/>
    <n v="2.8E-3"/>
    <n v="1.44"/>
    <n v="1.04"/>
    <x v="2"/>
    <n v="2.8E-3"/>
    <x v="0"/>
  </r>
  <r>
    <x v="0"/>
    <x v="24"/>
    <n v="2.8E-3"/>
    <n v="5"/>
    <n v="4.5999999999999996"/>
    <x v="3"/>
    <n v="1.12E-2"/>
    <x v="0"/>
  </r>
  <r>
    <x v="0"/>
    <x v="24"/>
    <n v="2.8E-3"/>
    <n v="4.085"/>
    <n v="3.6850000000000001"/>
    <x v="1"/>
    <n v="8.3999999999999995E-3"/>
    <x v="0"/>
  </r>
  <r>
    <x v="0"/>
    <x v="22"/>
    <n v="1.55E-2"/>
    <n v="7.5"/>
    <n v="7.1"/>
    <x v="0"/>
    <n v="0.1085"/>
    <x v="0"/>
  </r>
  <r>
    <x v="0"/>
    <x v="28"/>
    <n v="5.7299999999999999E-3"/>
    <n v="6.49"/>
    <n v="6.09"/>
    <x v="5"/>
    <n v="3.4380000000000001E-2"/>
    <x v="0"/>
  </r>
  <r>
    <x v="0"/>
    <x v="28"/>
    <n v="5.7299999999999999E-3"/>
    <n v="6.49"/>
    <n v="6.09"/>
    <x v="5"/>
    <n v="3.4380000000000001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4.7389999999999999"/>
    <n v="4.3389999999999995"/>
    <x v="3"/>
    <n v="1.12E-2"/>
    <x v="0"/>
  </r>
  <r>
    <x v="0"/>
    <x v="24"/>
    <n v="2.8E-3"/>
    <n v="4.7389999999999999"/>
    <n v="4.3389999999999995"/>
    <x v="3"/>
    <n v="1.12E-2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77"/>
    <n v="1.3899999999999999E-2"/>
    <n v="5.83"/>
    <n v="5.43"/>
    <x v="7"/>
    <n v="6.9499999999999992E-2"/>
    <x v="1"/>
  </r>
  <r>
    <x v="0"/>
    <x v="32"/>
    <n v="1.78E-2"/>
    <n v="5.83"/>
    <n v="5.43"/>
    <x v="7"/>
    <n v="8.8999999999999996E-2"/>
    <x v="0"/>
  </r>
  <r>
    <x v="0"/>
    <x v="24"/>
    <n v="2.8E-3"/>
    <n v="1.2450000000000001"/>
    <n v="0.84500000000000008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19"/>
    <n v="8.5500000000000003E-3"/>
    <n v="3.016"/>
    <n v="2.6160000000000001"/>
    <x v="6"/>
    <n v="1.7100000000000001E-2"/>
    <x v="0"/>
  </r>
  <r>
    <x v="0"/>
    <x v="19"/>
    <n v="8.5500000000000003E-3"/>
    <n v="3.016"/>
    <n v="2.6160000000000001"/>
    <x v="6"/>
    <n v="1.7100000000000001E-2"/>
    <x v="0"/>
  </r>
  <r>
    <x v="0"/>
    <x v="24"/>
    <n v="2.8E-3"/>
    <n v="1.94"/>
    <n v="1.54"/>
    <x v="2"/>
    <n v="2.8E-3"/>
    <x v="0"/>
  </r>
  <r>
    <x v="0"/>
    <x v="24"/>
    <n v="2.8E-3"/>
    <n v="1.94"/>
    <n v="1.54"/>
    <x v="2"/>
    <n v="2.8E-3"/>
    <x v="0"/>
  </r>
  <r>
    <x v="0"/>
    <x v="46"/>
    <n v="3.6099999999999999E-3"/>
    <n v="1.45"/>
    <n v="1.0499999999999998"/>
    <x v="2"/>
    <n v="3.6099999999999999E-3"/>
    <x v="0"/>
  </r>
  <r>
    <x v="0"/>
    <x v="46"/>
    <n v="3.6099999999999999E-3"/>
    <n v="1.45"/>
    <n v="1.0499999999999998"/>
    <x v="2"/>
    <n v="3.6099999999999999E-3"/>
    <x v="0"/>
  </r>
  <r>
    <x v="0"/>
    <x v="24"/>
    <n v="2.8E-3"/>
    <n v="2.7759999999999998"/>
    <n v="2.3759999999999999"/>
    <x v="6"/>
    <n v="5.5999999999999999E-3"/>
    <x v="0"/>
  </r>
  <r>
    <x v="0"/>
    <x v="23"/>
    <n v="6.6600000000000001E-3"/>
    <n v="1.8759999999999999"/>
    <n v="1.476"/>
    <x v="2"/>
    <n v="6.6600000000000001E-3"/>
    <x v="0"/>
  </r>
  <r>
    <x v="0"/>
    <x v="23"/>
    <n v="6.6600000000000001E-3"/>
    <n v="1.8759999999999999"/>
    <n v="1.476"/>
    <x v="2"/>
    <n v="6.6600000000000001E-3"/>
    <x v="0"/>
  </r>
  <r>
    <x v="0"/>
    <x v="23"/>
    <n v="6.6600000000000001E-3"/>
    <n v="2.3149999999999999"/>
    <n v="1.915"/>
    <x v="2"/>
    <n v="6.6600000000000001E-3"/>
    <x v="0"/>
  </r>
  <r>
    <x v="0"/>
    <x v="46"/>
    <n v="3.6099999999999999E-3"/>
    <n v="2.3149999999999999"/>
    <n v="1.915"/>
    <x v="2"/>
    <n v="3.6099999999999999E-3"/>
    <x v="0"/>
  </r>
  <r>
    <x v="0"/>
    <x v="46"/>
    <n v="3.6099999999999999E-3"/>
    <n v="2.3149999999999999"/>
    <n v="1.915"/>
    <x v="2"/>
    <n v="3.6099999999999999E-3"/>
    <x v="0"/>
  </r>
  <r>
    <x v="0"/>
    <x v="96"/>
    <n v="6.6600000000000001E-3"/>
    <n v="2.3149999999999999"/>
    <n v="1.915"/>
    <x v="2"/>
    <n v="6.6600000000000001E-3"/>
    <x v="1"/>
  </r>
  <r>
    <x v="5"/>
    <x v="59"/>
    <n v="1.47E-2"/>
    <n v="6.6998810000000004"/>
    <n v="6.2998810000000001"/>
    <x v="5"/>
    <n v="8.8200000000000001E-2"/>
    <x v="0"/>
  </r>
  <r>
    <x v="5"/>
    <x v="59"/>
    <n v="1.47E-2"/>
    <n v="6.6998810000000004"/>
    <n v="6.2998810000000001"/>
    <x v="5"/>
    <n v="8.8200000000000001E-2"/>
    <x v="0"/>
  </r>
  <r>
    <x v="3"/>
    <x v="97"/>
    <n v="1.0999999999999999E-2"/>
    <n v="2.3149999999999999"/>
    <n v="1.915"/>
    <x v="2"/>
    <n v="1.0999999999999999E-2"/>
    <x v="0"/>
  </r>
  <r>
    <x v="3"/>
    <x v="97"/>
    <n v="1.0999999999999999E-2"/>
    <n v="2.3149999999999999"/>
    <n v="1.915"/>
    <x v="2"/>
    <n v="1.0999999999999999E-2"/>
    <x v="0"/>
  </r>
  <r>
    <x v="3"/>
    <x v="97"/>
    <n v="1.0999999999999999E-2"/>
    <n v="1.3759999999999999"/>
    <n v="0.97599999999999987"/>
    <x v="4"/>
    <n v="0"/>
    <x v="0"/>
  </r>
  <r>
    <x v="3"/>
    <x v="97"/>
    <n v="1.0999999999999999E-2"/>
    <n v="1.3759999999999999"/>
    <n v="0.97599999999999987"/>
    <x v="4"/>
    <n v="0"/>
    <x v="0"/>
  </r>
  <r>
    <x v="3"/>
    <x v="97"/>
    <n v="1.0999999999999999E-2"/>
    <n v="3.6150000000000002"/>
    <n v="3.2150000000000003"/>
    <x v="1"/>
    <n v="3.3000000000000002E-2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43"/>
    <n v="4.2100000000000002E-3"/>
    <n v="2.5"/>
    <n v="2.1"/>
    <x v="6"/>
    <n v="8.4200000000000004E-3"/>
    <x v="0"/>
  </r>
  <r>
    <x v="0"/>
    <x v="43"/>
    <n v="4.2100000000000002E-3"/>
    <n v="5"/>
    <n v="4.5999999999999996"/>
    <x v="3"/>
    <n v="1.6840000000000001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3"/>
    <n v="6.6600000000000001E-3"/>
    <n v="5"/>
    <n v="4.5999999999999996"/>
    <x v="3"/>
    <n v="2.664E-2"/>
    <x v="0"/>
  </r>
  <r>
    <x v="0"/>
    <x v="23"/>
    <n v="6.6600000000000001E-3"/>
    <n v="2.5"/>
    <n v="2.1"/>
    <x v="6"/>
    <n v="1.332E-2"/>
    <x v="0"/>
  </r>
  <r>
    <x v="0"/>
    <x v="24"/>
    <n v="2.8E-3"/>
    <n v="4.085"/>
    <n v="3.6850000000000001"/>
    <x v="1"/>
    <n v="8.3999999999999995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24"/>
    <n v="2.8E-3"/>
    <n v="2.4707300000000001"/>
    <n v="2.0707300000000002"/>
    <x v="6"/>
    <n v="5.5999999999999999E-3"/>
    <x v="0"/>
  </r>
  <r>
    <x v="0"/>
    <x v="24"/>
    <n v="2.8E-3"/>
    <n v="2.4707300000000001"/>
    <n v="2.0707300000000002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37"/>
    <n v="3.5899999999999999E-3"/>
    <n v="6.375"/>
    <n v="5.9749999999999996"/>
    <x v="7"/>
    <n v="1.7950000000000001E-2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50"/>
    <n v="5.8599999999999998E-3"/>
    <n v="7.5"/>
    <n v="7.1"/>
    <x v="0"/>
    <n v="4.1020000000000001E-2"/>
    <x v="0"/>
  </r>
  <r>
    <x v="0"/>
    <x v="40"/>
    <n v="4.1799999999999997E-3"/>
    <n v="6.33"/>
    <n v="5.93"/>
    <x v="7"/>
    <n v="2.0899999999999998E-2"/>
    <x v="0"/>
  </r>
  <r>
    <x v="0"/>
    <x v="12"/>
    <n v="5.8700000000000002E-3"/>
    <n v="8.67"/>
    <n v="8.27"/>
    <x v="11"/>
    <n v="4.696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21"/>
    <n v="4.9800000000000001E-3"/>
    <n v="7.5"/>
    <n v="7.1"/>
    <x v="0"/>
    <n v="3.4860000000000002E-2"/>
    <x v="0"/>
  </r>
  <r>
    <x v="3"/>
    <x v="84"/>
    <n v="1.23E-2"/>
    <n v="7.5"/>
    <n v="7.1"/>
    <x v="0"/>
    <n v="8.6099999999999996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10"/>
    <n v="7.26E-3"/>
    <n v="7.5"/>
    <n v="7.1"/>
    <x v="0"/>
    <n v="5.0819999999999997E-2"/>
    <x v="0"/>
  </r>
  <r>
    <x v="0"/>
    <x v="50"/>
    <n v="5.8599999999999998E-3"/>
    <n v="8.67"/>
    <n v="8.27"/>
    <x v="11"/>
    <n v="4.6879999999999998E-2"/>
    <x v="0"/>
  </r>
  <r>
    <x v="0"/>
    <x v="90"/>
    <n v="7.6499999999999997E-3"/>
    <n v="7.5"/>
    <n v="7.1"/>
    <x v="0"/>
    <n v="5.355E-2"/>
    <x v="0"/>
  </r>
  <r>
    <x v="0"/>
    <x v="24"/>
    <n v="2.8E-3"/>
    <n v="3.23"/>
    <n v="2.83"/>
    <x v="6"/>
    <n v="5.5999999999999999E-3"/>
    <x v="0"/>
  </r>
  <r>
    <x v="0"/>
    <x v="24"/>
    <n v="2.8E-3"/>
    <n v="4.2699999999999996"/>
    <n v="3.8699999999999997"/>
    <x v="1"/>
    <n v="8.3999999999999995E-3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7"/>
    <n v="1.2500000000000001E-2"/>
    <n v="7.5"/>
    <n v="7.1"/>
    <x v="0"/>
    <n v="8.7500000000000008E-2"/>
    <x v="0"/>
  </r>
  <r>
    <x v="0"/>
    <x v="55"/>
    <n v="4.9699999999999996E-3"/>
    <n v="7.5"/>
    <n v="7.1"/>
    <x v="0"/>
    <n v="3.4789999999999995E-2"/>
    <x v="0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0"/>
    <n v="4.1799999999999997E-3"/>
    <n v="7.5"/>
    <n v="7.1"/>
    <x v="0"/>
    <n v="2.9259999999999998E-2"/>
    <x v="0"/>
  </r>
  <r>
    <x v="0"/>
    <x v="79"/>
    <n v="1.04E-2"/>
    <n v="8.67"/>
    <n v="8.27"/>
    <x v="11"/>
    <n v="8.3199999999999996E-2"/>
    <x v="0"/>
  </r>
  <r>
    <x v="0"/>
    <x v="88"/>
    <n v="1.14E-2"/>
    <n v="7.5"/>
    <n v="7.1"/>
    <x v="0"/>
    <n v="7.980000000000001E-2"/>
    <x v="1"/>
  </r>
  <r>
    <x v="0"/>
    <x v="38"/>
    <n v="1.17E-2"/>
    <n v="1.609"/>
    <n v="1.2090000000000001"/>
    <x v="2"/>
    <n v="1.17E-2"/>
    <x v="0"/>
  </r>
  <r>
    <x v="3"/>
    <x v="81"/>
    <n v="2.01E-2"/>
    <n v="7.5"/>
    <n v="7.1"/>
    <x v="0"/>
    <n v="0.14069999999999999"/>
    <x v="0"/>
  </r>
  <r>
    <x v="0"/>
    <x v="44"/>
    <n v="1.0500000000000001E-2"/>
    <n v="7.5"/>
    <n v="7.1"/>
    <x v="0"/>
    <n v="7.350000000000001E-2"/>
    <x v="0"/>
  </r>
  <r>
    <x v="0"/>
    <x v="29"/>
    <n v="1.5900000000000001E-2"/>
    <n v="3.75"/>
    <n v="3.35"/>
    <x v="1"/>
    <n v="4.7700000000000006E-2"/>
    <x v="0"/>
  </r>
  <r>
    <x v="0"/>
    <x v="82"/>
    <n v="1.5900000000000001E-2"/>
    <n v="9.7949999999999999"/>
    <n v="9.3949999999999996"/>
    <x v="9"/>
    <n v="0.1431"/>
    <x v="0"/>
  </r>
  <r>
    <x v="0"/>
    <x v="7"/>
    <n v="1.2500000000000001E-2"/>
    <n v="6.9950000000000001"/>
    <n v="6.5949999999999998"/>
    <x v="5"/>
    <n v="7.5000000000000011E-2"/>
    <x v="0"/>
  </r>
  <r>
    <x v="3"/>
    <x v="84"/>
    <n v="1.23E-2"/>
    <n v="7.5"/>
    <n v="7.1"/>
    <x v="0"/>
    <n v="8.6099999999999996E-2"/>
    <x v="0"/>
  </r>
  <r>
    <x v="0"/>
    <x v="37"/>
    <n v="3.5899999999999999E-3"/>
    <n v="7.5"/>
    <n v="7.1"/>
    <x v="0"/>
    <n v="2.513E-2"/>
    <x v="0"/>
  </r>
  <r>
    <x v="0"/>
    <x v="37"/>
    <n v="3.5899999999999999E-3"/>
    <n v="7.05"/>
    <n v="6.6499999999999995"/>
    <x v="5"/>
    <n v="2.154E-2"/>
    <x v="0"/>
  </r>
  <r>
    <x v="0"/>
    <x v="37"/>
    <n v="3.5899999999999999E-3"/>
    <n v="7.05"/>
    <n v="6.6499999999999995"/>
    <x v="5"/>
    <n v="2.154E-2"/>
    <x v="0"/>
  </r>
  <r>
    <x v="5"/>
    <x v="59"/>
    <n v="1.47E-2"/>
    <n v="1.1399999999999999"/>
    <n v="0.73999999999999988"/>
    <x v="4"/>
    <n v="0"/>
    <x v="0"/>
  </r>
  <r>
    <x v="5"/>
    <x v="59"/>
    <n v="1.47E-2"/>
    <n v="1.1399999999999999"/>
    <n v="0.73999999999999988"/>
    <x v="4"/>
    <n v="0"/>
    <x v="0"/>
  </r>
  <r>
    <x v="0"/>
    <x v="24"/>
    <n v="2.8E-3"/>
    <n v="5.6142120000000002"/>
    <n v="5.2142119999999998"/>
    <x v="7"/>
    <n v="1.4E-2"/>
    <x v="0"/>
  </r>
  <r>
    <x v="0"/>
    <x v="24"/>
    <n v="2.8E-3"/>
    <n v="2.192231"/>
    <n v="1.7922310000000001"/>
    <x v="2"/>
    <n v="2.8E-3"/>
    <x v="0"/>
  </r>
  <r>
    <x v="0"/>
    <x v="24"/>
    <n v="2.8E-3"/>
    <n v="0.35299999999999998"/>
    <n v="0"/>
    <x v="4"/>
    <n v="0"/>
    <x v="0"/>
  </r>
  <r>
    <x v="0"/>
    <x v="24"/>
    <n v="2.8E-3"/>
    <n v="3.23"/>
    <n v="2.8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4"/>
    <n v="1.0500000000000001E-2"/>
    <n v="7.5"/>
    <n v="7.1"/>
    <x v="0"/>
    <n v="7.350000000000001E-2"/>
    <x v="0"/>
  </r>
  <r>
    <x v="0"/>
    <x v="23"/>
    <n v="6.6600000000000001E-3"/>
    <n v="7.5"/>
    <n v="7.1"/>
    <x v="0"/>
    <n v="4.6620000000000002E-2"/>
    <x v="0"/>
  </r>
  <r>
    <x v="0"/>
    <x v="24"/>
    <n v="2.8E-3"/>
    <n v="4.0839999999999996"/>
    <n v="3.6839999999999997"/>
    <x v="1"/>
    <n v="8.3999999999999995E-3"/>
    <x v="0"/>
  </r>
  <r>
    <x v="0"/>
    <x v="24"/>
    <n v="2.8E-3"/>
    <n v="1.758"/>
    <n v="1.3580000000000001"/>
    <x v="2"/>
    <n v="2.8E-3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55"/>
    <n v="4.9699999999999996E-3"/>
    <n v="7.5"/>
    <n v="7.1"/>
    <x v="0"/>
    <n v="3.4789999999999995E-2"/>
    <x v="0"/>
  </r>
  <r>
    <x v="0"/>
    <x v="40"/>
    <n v="4.1799999999999997E-3"/>
    <n v="7.5"/>
    <n v="7.1"/>
    <x v="0"/>
    <n v="2.9259999999999998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5"/>
    <x v="59"/>
    <n v="1.47E-2"/>
    <n v="6.6998810000000004"/>
    <n v="6.2998810000000001"/>
    <x v="5"/>
    <n v="8.8200000000000001E-2"/>
    <x v="0"/>
  </r>
  <r>
    <x v="5"/>
    <x v="59"/>
    <n v="1.47E-2"/>
    <n v="0.63500000000000001"/>
    <n v="0.23499999999999999"/>
    <x v="4"/>
    <n v="0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43"/>
    <n v="4.2100000000000002E-3"/>
    <n v="2.5"/>
    <n v="2.1"/>
    <x v="6"/>
    <n v="8.4200000000000004E-3"/>
    <x v="0"/>
  </r>
  <r>
    <x v="0"/>
    <x v="43"/>
    <n v="4.2100000000000002E-3"/>
    <n v="5"/>
    <n v="4.5999999999999996"/>
    <x v="3"/>
    <n v="1.6840000000000001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3"/>
    <n v="6.6600000000000001E-3"/>
    <n v="5"/>
    <n v="4.5999999999999996"/>
    <x v="3"/>
    <n v="2.664E-2"/>
    <x v="0"/>
  </r>
  <r>
    <x v="0"/>
    <x v="23"/>
    <n v="6.6600000000000001E-3"/>
    <n v="2.5"/>
    <n v="2.1"/>
    <x v="6"/>
    <n v="1.33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6.375"/>
    <n v="5.9749999999999996"/>
    <x v="7"/>
    <n v="1.795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7"/>
    <n v="9.4599999999999997E-3"/>
    <n v="7.5"/>
    <n v="7.1"/>
    <x v="0"/>
    <n v="6.6220000000000001E-2"/>
    <x v="0"/>
  </r>
  <r>
    <x v="0"/>
    <x v="40"/>
    <n v="4.1799999999999997E-3"/>
    <n v="6.33"/>
    <n v="5.93"/>
    <x v="7"/>
    <n v="2.089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3"/>
    <x v="98"/>
    <n v="2.1299999999999999E-2"/>
    <n v="7.5"/>
    <n v="7.1"/>
    <x v="0"/>
    <n v="0.14910000000000001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43"/>
    <n v="4.2100000000000002E-3"/>
    <n v="7.5"/>
    <n v="7.1"/>
    <x v="0"/>
    <n v="2.9470000000000003E-2"/>
    <x v="0"/>
  </r>
  <r>
    <x v="0"/>
    <x v="90"/>
    <n v="7.6499999999999997E-3"/>
    <n v="7.5"/>
    <n v="7.1"/>
    <x v="0"/>
    <n v="5.355E-2"/>
    <x v="0"/>
  </r>
  <r>
    <x v="0"/>
    <x v="23"/>
    <n v="6.6600000000000001E-3"/>
    <n v="7.5"/>
    <n v="7.1"/>
    <x v="0"/>
    <n v="4.6620000000000002E-2"/>
    <x v="0"/>
  </r>
  <r>
    <x v="3"/>
    <x v="98"/>
    <n v="2.1299999999999999E-2"/>
    <n v="7.5"/>
    <n v="7.1"/>
    <x v="0"/>
    <n v="0.14910000000000001"/>
    <x v="0"/>
  </r>
  <r>
    <x v="0"/>
    <x v="23"/>
    <n v="6.6600000000000001E-3"/>
    <n v="7.5"/>
    <n v="7.1"/>
    <x v="0"/>
    <n v="4.6620000000000002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3"/>
    <x v="80"/>
    <n v="3.0599999999999999E-2"/>
    <n v="7.5"/>
    <n v="7.1"/>
    <x v="0"/>
    <n v="0.2142"/>
    <x v="0"/>
  </r>
  <r>
    <x v="0"/>
    <x v="48"/>
    <n v="7.62E-3"/>
    <n v="7.5"/>
    <n v="7.1"/>
    <x v="0"/>
    <n v="5.3339999999999999E-2"/>
    <x v="0"/>
  </r>
  <r>
    <x v="0"/>
    <x v="79"/>
    <n v="1.04E-2"/>
    <n v="8.67"/>
    <n v="8.27"/>
    <x v="11"/>
    <n v="8.3199999999999996E-2"/>
    <x v="0"/>
  </r>
  <r>
    <x v="0"/>
    <x v="23"/>
    <n v="6.6600000000000001E-3"/>
    <n v="7.5"/>
    <n v="7.1"/>
    <x v="0"/>
    <n v="4.6620000000000002E-2"/>
    <x v="0"/>
  </r>
  <r>
    <x v="0"/>
    <x v="82"/>
    <n v="1.5900000000000001E-2"/>
    <n v="9.7949999999999999"/>
    <n v="9.3949999999999996"/>
    <x v="9"/>
    <n v="0.1431"/>
    <x v="0"/>
  </r>
  <r>
    <x v="3"/>
    <x v="84"/>
    <n v="1.23E-2"/>
    <n v="7.5"/>
    <n v="7.1"/>
    <x v="0"/>
    <n v="8.6099999999999996E-2"/>
    <x v="0"/>
  </r>
  <r>
    <x v="3"/>
    <x v="99"/>
    <n v="1.6799999999999999E-2"/>
    <n v="7.5"/>
    <n v="7.1"/>
    <x v="0"/>
    <n v="0.1176"/>
    <x v="0"/>
  </r>
  <r>
    <x v="0"/>
    <x v="67"/>
    <n v="1.29E-2"/>
    <n v="7.5"/>
    <n v="7.1"/>
    <x v="0"/>
    <n v="9.0300000000000005E-2"/>
    <x v="0"/>
  </r>
  <r>
    <x v="0"/>
    <x v="24"/>
    <n v="2.8E-3"/>
    <n v="2.825707"/>
    <n v="2.4257070000000001"/>
    <x v="6"/>
    <n v="5.5999999999999999E-3"/>
    <x v="0"/>
  </r>
  <r>
    <x v="0"/>
    <x v="24"/>
    <n v="2.8E-3"/>
    <n v="2.825707"/>
    <n v="2.4257070000000001"/>
    <x v="6"/>
    <n v="5.5999999999999999E-3"/>
    <x v="0"/>
  </r>
  <r>
    <x v="0"/>
    <x v="38"/>
    <n v="1.17E-2"/>
    <n v="2.1139999999999999"/>
    <n v="1.714"/>
    <x v="2"/>
    <n v="1.17E-2"/>
    <x v="0"/>
  </r>
  <r>
    <x v="0"/>
    <x v="37"/>
    <n v="3.5899999999999999E-3"/>
    <n v="7.05"/>
    <n v="6.6499999999999995"/>
    <x v="5"/>
    <n v="2.154E-2"/>
    <x v="0"/>
  </r>
  <r>
    <x v="5"/>
    <x v="59"/>
    <n v="1.47E-2"/>
    <n v="1.1399999999999999"/>
    <n v="0.73999999999999988"/>
    <x v="4"/>
    <n v="0"/>
    <x v="0"/>
  </r>
  <r>
    <x v="0"/>
    <x v="47"/>
    <n v="9.4599999999999997E-3"/>
    <n v="7.5"/>
    <n v="7.1"/>
    <x v="0"/>
    <n v="6.6220000000000001E-2"/>
    <x v="0"/>
  </r>
  <r>
    <x v="0"/>
    <x v="23"/>
    <n v="6.6600000000000001E-3"/>
    <n v="7.5"/>
    <n v="7.1"/>
    <x v="0"/>
    <n v="4.6620000000000002E-2"/>
    <x v="0"/>
  </r>
  <r>
    <x v="0"/>
    <x v="24"/>
    <n v="2.8E-3"/>
    <n v="4.0839999999999996"/>
    <n v="3.6839999999999997"/>
    <x v="1"/>
    <n v="8.3999999999999995E-3"/>
    <x v="0"/>
  </r>
  <r>
    <x v="0"/>
    <x v="24"/>
    <n v="2.8E-3"/>
    <n v="4.0839999999999996"/>
    <n v="3.6839999999999997"/>
    <x v="1"/>
    <n v="8.3999999999999995E-3"/>
    <x v="0"/>
  </r>
  <r>
    <x v="0"/>
    <x v="24"/>
    <n v="2.8E-3"/>
    <n v="4.0839999999999996"/>
    <n v="3.6839999999999997"/>
    <x v="1"/>
    <n v="8.3999999999999995E-3"/>
    <x v="0"/>
  </r>
  <r>
    <x v="0"/>
    <x v="24"/>
    <n v="2.8E-3"/>
    <n v="1.758"/>
    <n v="1.3580000000000001"/>
    <x v="2"/>
    <n v="2.8E-3"/>
    <x v="0"/>
  </r>
  <r>
    <x v="0"/>
    <x v="37"/>
    <n v="3.5899999999999999E-3"/>
    <n v="6.9950000000000001"/>
    <n v="6.5949999999999998"/>
    <x v="5"/>
    <n v="2.154E-2"/>
    <x v="0"/>
  </r>
  <r>
    <x v="3"/>
    <x v="76"/>
    <n v="1.3599999999999999E-2"/>
    <n v="6.9950000000000001"/>
    <n v="6.5949999999999998"/>
    <x v="5"/>
    <n v="8.1599999999999992E-2"/>
    <x v="0"/>
  </r>
  <r>
    <x v="0"/>
    <x v="40"/>
    <n v="4.1799999999999997E-3"/>
    <n v="6.9950000000000001"/>
    <n v="6.5949999999999998"/>
    <x v="5"/>
    <n v="2.5079999999999998E-2"/>
    <x v="0"/>
  </r>
  <r>
    <x v="0"/>
    <x v="24"/>
    <n v="2.8E-3"/>
    <n v="5.9567690000000004"/>
    <n v="5.5567690000000001"/>
    <x v="7"/>
    <n v="1.4E-2"/>
    <x v="0"/>
  </r>
  <r>
    <x v="0"/>
    <x v="24"/>
    <n v="2.8E-3"/>
    <n v="2.6091150000000001"/>
    <n v="2.2091150000000002"/>
    <x v="6"/>
    <n v="5.5999999999999999E-3"/>
    <x v="0"/>
  </r>
  <r>
    <x v="0"/>
    <x v="40"/>
    <n v="4.1799999999999997E-3"/>
    <n v="3.4780000000000002"/>
    <n v="3.0780000000000003"/>
    <x v="1"/>
    <n v="1.2539999999999999E-2"/>
    <x v="0"/>
  </r>
  <r>
    <x v="0"/>
    <x v="24"/>
    <n v="2.8E-3"/>
    <n v="3.4780000000000002"/>
    <n v="3.0780000000000003"/>
    <x v="1"/>
    <n v="8.3999999999999995E-3"/>
    <x v="0"/>
  </r>
  <r>
    <x v="0"/>
    <x v="40"/>
    <n v="4.1799999999999997E-3"/>
    <n v="4.1559999999999997"/>
    <n v="3.7559999999999998"/>
    <x v="1"/>
    <n v="1.2539999999999999E-2"/>
    <x v="0"/>
  </r>
  <r>
    <x v="0"/>
    <x v="40"/>
    <n v="4.1799999999999997E-3"/>
    <n v="3.4780000000000002"/>
    <n v="3.0780000000000003"/>
    <x v="1"/>
    <n v="1.2539999999999999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43"/>
    <n v="4.2100000000000002E-3"/>
    <n v="2.5"/>
    <n v="2.1"/>
    <x v="6"/>
    <n v="8.4200000000000004E-3"/>
    <x v="0"/>
  </r>
  <r>
    <x v="0"/>
    <x v="43"/>
    <n v="4.2100000000000002E-3"/>
    <n v="5"/>
    <n v="4.5999999999999996"/>
    <x v="3"/>
    <n v="1.6840000000000001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3"/>
    <n v="6.6600000000000001E-3"/>
    <n v="5"/>
    <n v="4.5999999999999996"/>
    <x v="3"/>
    <n v="2.664E-2"/>
    <x v="0"/>
  </r>
  <r>
    <x v="0"/>
    <x v="23"/>
    <n v="6.6600000000000001E-3"/>
    <n v="2.5"/>
    <n v="2.1"/>
    <x v="6"/>
    <n v="1.33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4"/>
    <n v="2.8E-3"/>
    <n v="2.9729999999999999"/>
    <n v="2.573"/>
    <x v="6"/>
    <n v="5.5999999999999999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6.375"/>
    <n v="5.9749999999999996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6.9950000000000001"/>
    <n v="6.5949999999999998"/>
    <x v="5"/>
    <n v="2.154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7.5"/>
    <n v="7.1"/>
    <x v="0"/>
    <n v="3.4789999999999995E-2"/>
    <x v="0"/>
  </r>
  <r>
    <x v="3"/>
    <x v="98"/>
    <n v="2.1299999999999999E-2"/>
    <n v="7.5"/>
    <n v="7.1"/>
    <x v="0"/>
    <n v="0.14910000000000001"/>
    <x v="0"/>
  </r>
  <r>
    <x v="0"/>
    <x v="40"/>
    <n v="4.1799999999999997E-3"/>
    <n v="6.33"/>
    <n v="5.93"/>
    <x v="7"/>
    <n v="2.089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12"/>
    <n v="5.8700000000000002E-3"/>
    <n v="8.67"/>
    <n v="8.27"/>
    <x v="11"/>
    <n v="4.696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43"/>
    <n v="4.2100000000000002E-3"/>
    <n v="7.5"/>
    <n v="7.1"/>
    <x v="0"/>
    <n v="2.9470000000000003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90"/>
    <n v="7.6499999999999997E-3"/>
    <n v="7.5"/>
    <n v="7.1"/>
    <x v="0"/>
    <n v="5.355E-2"/>
    <x v="0"/>
  </r>
  <r>
    <x v="0"/>
    <x v="23"/>
    <n v="6.6600000000000001E-3"/>
    <n v="7.5"/>
    <n v="7.1"/>
    <x v="0"/>
    <n v="4.6620000000000002E-2"/>
    <x v="0"/>
  </r>
  <r>
    <x v="3"/>
    <x v="18"/>
    <n v="3.6600000000000001E-2"/>
    <n v="7.5"/>
    <n v="7.1"/>
    <x v="0"/>
    <n v="0.25619999999999998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23"/>
    <n v="6.6600000000000001E-3"/>
    <n v="7.5"/>
    <n v="7.1"/>
    <x v="0"/>
    <n v="4.6620000000000002E-2"/>
    <x v="0"/>
  </r>
  <r>
    <x v="0"/>
    <x v="79"/>
    <n v="1.04E-2"/>
    <n v="8.67"/>
    <n v="8.27"/>
    <x v="11"/>
    <n v="8.3199999999999996E-2"/>
    <x v="0"/>
  </r>
  <r>
    <x v="0"/>
    <x v="82"/>
    <n v="1.5900000000000001E-2"/>
    <n v="9.7949999999999999"/>
    <n v="9.3949999999999996"/>
    <x v="9"/>
    <n v="0.1431"/>
    <x v="0"/>
  </r>
  <r>
    <x v="0"/>
    <x v="10"/>
    <n v="7.26E-3"/>
    <n v="6.9950000000000001"/>
    <n v="6.5949999999999998"/>
    <x v="5"/>
    <n v="4.3560000000000001E-2"/>
    <x v="0"/>
  </r>
  <r>
    <x v="0"/>
    <x v="55"/>
    <n v="4.9699999999999996E-3"/>
    <n v="7.5"/>
    <n v="7.1"/>
    <x v="0"/>
    <n v="3.4789999999999995E-2"/>
    <x v="0"/>
  </r>
  <r>
    <x v="3"/>
    <x v="84"/>
    <n v="1.23E-2"/>
    <n v="7.5"/>
    <n v="7.1"/>
    <x v="0"/>
    <n v="8.6099999999999996E-2"/>
    <x v="0"/>
  </r>
  <r>
    <x v="0"/>
    <x v="24"/>
    <n v="2.8E-3"/>
    <n v="3.75"/>
    <n v="3.35"/>
    <x v="1"/>
    <n v="8.3999999999999995E-3"/>
    <x v="0"/>
  </r>
  <r>
    <x v="0"/>
    <x v="37"/>
    <n v="3.5899999999999999E-3"/>
    <n v="3.75"/>
    <n v="3.35"/>
    <x v="1"/>
    <n v="1.077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71"/>
    <n v="8.5500000000000003E-3"/>
    <n v="4.0209999999999999"/>
    <n v="3.621"/>
    <x v="1"/>
    <n v="2.5649999999999999E-2"/>
    <x v="0"/>
  </r>
  <r>
    <x v="0"/>
    <x v="71"/>
    <n v="8.5500000000000003E-3"/>
    <n v="3.4790000000000001"/>
    <n v="3.0790000000000002"/>
    <x v="1"/>
    <n v="2.5649999999999999E-2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3"/>
    <x v="100"/>
    <n v="9.3100000000000006E-3"/>
    <n v="6.9950000000000001"/>
    <n v="6.5949999999999998"/>
    <x v="5"/>
    <n v="5.5860000000000007E-2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4.0220000000000002"/>
    <n v="3.6220000000000003"/>
    <x v="1"/>
    <n v="8.3999999999999995E-3"/>
    <x v="0"/>
  </r>
  <r>
    <x v="0"/>
    <x v="49"/>
    <n v="3.16E-3"/>
    <n v="5.742"/>
    <n v="5.3419999999999996"/>
    <x v="7"/>
    <n v="1.5800000000000002E-2"/>
    <x v="0"/>
  </r>
  <r>
    <x v="0"/>
    <x v="50"/>
    <n v="5.8599999999999998E-3"/>
    <n v="4.0839999999999996"/>
    <n v="3.6839999999999997"/>
    <x v="1"/>
    <n v="1.7579999999999998E-2"/>
    <x v="0"/>
  </r>
  <r>
    <x v="0"/>
    <x v="50"/>
    <n v="5.8599999999999998E-3"/>
    <n v="1.6579999999999999"/>
    <n v="1.258"/>
    <x v="2"/>
    <n v="5.8599999999999998E-3"/>
    <x v="0"/>
  </r>
  <r>
    <x v="0"/>
    <x v="50"/>
    <n v="5.8599999999999998E-3"/>
    <n v="3.75"/>
    <n v="3.35"/>
    <x v="1"/>
    <n v="1.7579999999999998E-2"/>
    <x v="0"/>
  </r>
  <r>
    <x v="0"/>
    <x v="50"/>
    <n v="5.8599999999999998E-3"/>
    <n v="3.75"/>
    <n v="3.35"/>
    <x v="1"/>
    <n v="1.75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2.5"/>
    <n v="2.1"/>
    <x v="6"/>
    <n v="1.172E-2"/>
    <x v="0"/>
  </r>
  <r>
    <x v="0"/>
    <x v="24"/>
    <n v="2.8E-3"/>
    <n v="5.6872600000000002"/>
    <n v="5.2872599999999998"/>
    <x v="7"/>
    <n v="1.4E-2"/>
    <x v="0"/>
  </r>
  <r>
    <x v="0"/>
    <x v="50"/>
    <n v="5.8599999999999998E-3"/>
    <n v="3.4790000000000001"/>
    <n v="3.0790000000000002"/>
    <x v="1"/>
    <n v="1.7579999999999998E-2"/>
    <x v="0"/>
  </r>
  <r>
    <x v="0"/>
    <x v="24"/>
    <n v="2.8E-3"/>
    <n v="2.9729999999999999"/>
    <n v="2.573"/>
    <x v="6"/>
    <n v="5.5999999999999999E-3"/>
    <x v="0"/>
  </r>
  <r>
    <x v="0"/>
    <x v="24"/>
    <n v="2.8E-3"/>
    <n v="2.0105"/>
    <n v="1.6105"/>
    <x v="2"/>
    <n v="2.8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3"/>
    <x v="69"/>
    <n v="2.52E-2"/>
    <n v="7.5"/>
    <n v="7.1"/>
    <x v="0"/>
    <n v="0.1764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0.97"/>
    <n v="0.56999999999999995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97"/>
    <n v="0.56999999999999995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1.1000000000000001"/>
    <n v="0.70000000000000007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1.1000000000000001"/>
    <n v="0.70000000000000007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0.84145700000000001"/>
    <n v="0.44145699999999999"/>
    <x v="4"/>
    <n v="0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43"/>
    <n v="4.2100000000000002E-3"/>
    <n v="2.5"/>
    <n v="2.1"/>
    <x v="6"/>
    <n v="8.4200000000000004E-3"/>
    <x v="0"/>
  </r>
  <r>
    <x v="0"/>
    <x v="43"/>
    <n v="4.2100000000000002E-3"/>
    <n v="5"/>
    <n v="4.5999999999999996"/>
    <x v="3"/>
    <n v="1.6840000000000001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3"/>
    <n v="6.6600000000000001E-3"/>
    <n v="5"/>
    <n v="4.5999999999999996"/>
    <x v="3"/>
    <n v="2.664E-2"/>
    <x v="0"/>
  </r>
  <r>
    <x v="0"/>
    <x v="23"/>
    <n v="6.6600000000000001E-3"/>
    <n v="2.5"/>
    <n v="2.1"/>
    <x v="6"/>
    <n v="1.33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4"/>
    <n v="2.8E-3"/>
    <n v="0.84145700000000001"/>
    <n v="0.44145699999999999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1.1000000000000001"/>
    <n v="0.70000000000000007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1.1000000000000001"/>
    <n v="0.70000000000000007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97"/>
    <n v="0.56999999999999995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97"/>
    <n v="0.56999999999999995"/>
    <x v="4"/>
    <n v="0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6.375"/>
    <n v="5.9749999999999996"/>
    <x v="7"/>
    <n v="1.795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33"/>
    <n v="5.93"/>
    <x v="7"/>
    <n v="2.0899999999999998E-2"/>
    <x v="0"/>
  </r>
  <r>
    <x v="0"/>
    <x v="40"/>
    <n v="4.1799999999999997E-3"/>
    <n v="7.5"/>
    <n v="7.1"/>
    <x v="0"/>
    <n v="2.9259999999999998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36"/>
    <n v="6.4900000000000001E-3"/>
    <n v="5.94"/>
    <n v="5.54"/>
    <x v="7"/>
    <n v="3.245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7.5"/>
    <n v="7.1"/>
    <x v="0"/>
    <n v="3.4789999999999995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50"/>
    <n v="5.8599999999999998E-3"/>
    <n v="8.67"/>
    <n v="8.27"/>
    <x v="11"/>
    <n v="4.6879999999999998E-2"/>
    <x v="0"/>
  </r>
  <r>
    <x v="0"/>
    <x v="90"/>
    <n v="7.6499999999999997E-3"/>
    <n v="7.5"/>
    <n v="7.1"/>
    <x v="0"/>
    <n v="5.355E-2"/>
    <x v="0"/>
  </r>
  <r>
    <x v="0"/>
    <x v="71"/>
    <n v="8.5500000000000003E-3"/>
    <n v="3.4790000000000001"/>
    <n v="3.0790000000000002"/>
    <x v="1"/>
    <n v="2.5649999999999999E-2"/>
    <x v="0"/>
  </r>
  <r>
    <x v="0"/>
    <x v="71"/>
    <n v="8.5500000000000003E-3"/>
    <n v="4.0209999999999999"/>
    <n v="3.621"/>
    <x v="1"/>
    <n v="2.5649999999999999E-2"/>
    <x v="0"/>
  </r>
  <r>
    <x v="0"/>
    <x v="43"/>
    <n v="4.2100000000000002E-3"/>
    <n v="7.5"/>
    <n v="7.1"/>
    <x v="0"/>
    <n v="2.9470000000000003E-2"/>
    <x v="0"/>
  </r>
  <r>
    <x v="0"/>
    <x v="23"/>
    <n v="6.6600000000000001E-3"/>
    <n v="7.5"/>
    <n v="7.1"/>
    <x v="0"/>
    <n v="4.6620000000000002E-2"/>
    <x v="0"/>
  </r>
  <r>
    <x v="0"/>
    <x v="48"/>
    <n v="7.62E-3"/>
    <n v="5.94"/>
    <n v="5.54"/>
    <x v="7"/>
    <n v="3.8100000000000002E-2"/>
    <x v="0"/>
  </r>
  <r>
    <x v="0"/>
    <x v="47"/>
    <n v="9.4599999999999997E-3"/>
    <n v="7.5"/>
    <n v="7.1"/>
    <x v="0"/>
    <n v="6.6220000000000001E-2"/>
    <x v="0"/>
  </r>
  <r>
    <x v="0"/>
    <x v="88"/>
    <n v="1.14E-2"/>
    <n v="7.5"/>
    <n v="7.1"/>
    <x v="0"/>
    <n v="7.980000000000001E-2"/>
    <x v="1"/>
  </r>
  <r>
    <x v="0"/>
    <x v="79"/>
    <n v="1.04E-2"/>
    <n v="8.67"/>
    <n v="8.27"/>
    <x v="11"/>
    <n v="8.3199999999999996E-2"/>
    <x v="0"/>
  </r>
  <r>
    <x v="0"/>
    <x v="82"/>
    <n v="1.5900000000000001E-2"/>
    <n v="9.7949999999999999"/>
    <n v="9.3949999999999996"/>
    <x v="9"/>
    <n v="0.1431"/>
    <x v="0"/>
  </r>
  <r>
    <x v="0"/>
    <x v="21"/>
    <n v="4.9800000000000001E-3"/>
    <n v="6.9950000000000001"/>
    <n v="6.5949999999999998"/>
    <x v="5"/>
    <n v="2.988E-2"/>
    <x v="0"/>
  </r>
  <r>
    <x v="0"/>
    <x v="40"/>
    <n v="4.1799999999999997E-3"/>
    <n v="7.5"/>
    <n v="7.1"/>
    <x v="0"/>
    <n v="2.9259999999999998E-2"/>
    <x v="0"/>
  </r>
  <r>
    <x v="3"/>
    <x v="84"/>
    <n v="1.23E-2"/>
    <n v="7.5"/>
    <n v="7.1"/>
    <x v="0"/>
    <n v="8.6099999999999996E-2"/>
    <x v="0"/>
  </r>
  <r>
    <x v="0"/>
    <x v="24"/>
    <n v="2.8E-3"/>
    <n v="3.4780000000000002"/>
    <n v="3.0780000000000003"/>
    <x v="1"/>
    <n v="8.3999999999999995E-3"/>
    <x v="0"/>
  </r>
  <r>
    <x v="0"/>
    <x v="24"/>
    <n v="2.8E-3"/>
    <n v="3.4780000000000002"/>
    <n v="3.0780000000000003"/>
    <x v="1"/>
    <n v="8.3999999999999995E-3"/>
    <x v="0"/>
  </r>
  <r>
    <x v="0"/>
    <x v="24"/>
    <n v="2.8E-3"/>
    <n v="1.3080000000000001"/>
    <n v="0.90800000000000003"/>
    <x v="4"/>
    <n v="0"/>
    <x v="0"/>
  </r>
  <r>
    <x v="0"/>
    <x v="24"/>
    <n v="2.8E-3"/>
    <n v="5.8022070000000001"/>
    <n v="5.4022069999999998"/>
    <x v="7"/>
    <n v="1.4E-2"/>
    <x v="0"/>
  </r>
  <r>
    <x v="0"/>
    <x v="24"/>
    <n v="2.8E-3"/>
    <n v="1.934061"/>
    <n v="1.5340609999999999"/>
    <x v="2"/>
    <n v="2.8E-3"/>
    <x v="0"/>
  </r>
  <r>
    <x v="0"/>
    <x v="43"/>
    <n v="4.2100000000000002E-3"/>
    <n v="7.5"/>
    <n v="7.1"/>
    <x v="0"/>
    <n v="2.9470000000000003E-2"/>
    <x v="0"/>
  </r>
  <r>
    <x v="0"/>
    <x v="71"/>
    <n v="8.5500000000000003E-3"/>
    <n v="4.1820000000000004"/>
    <n v="3.7820000000000005"/>
    <x v="1"/>
    <n v="2.5649999999999999E-2"/>
    <x v="0"/>
  </r>
  <r>
    <x v="0"/>
    <x v="24"/>
    <n v="2.8E-3"/>
    <n v="1.3080000000000001"/>
    <n v="0.90800000000000003"/>
    <x v="4"/>
    <n v="0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5.6872600000000002"/>
    <n v="5.2872599999999998"/>
    <x v="7"/>
    <n v="1.4E-2"/>
    <x v="0"/>
  </r>
  <r>
    <x v="0"/>
    <x v="24"/>
    <n v="2.8E-3"/>
    <n v="2.0105"/>
    <n v="1.6105"/>
    <x v="2"/>
    <n v="2.8E-3"/>
    <x v="0"/>
  </r>
  <r>
    <x v="0"/>
    <x v="24"/>
    <n v="2.8E-3"/>
    <n v="2.9729999999999999"/>
    <n v="2.573"/>
    <x v="6"/>
    <n v="5.5999999999999999E-3"/>
    <x v="0"/>
  </r>
  <r>
    <x v="1"/>
    <x v="5"/>
    <n v="8.5500000000000003E-3"/>
    <n v="1.402102"/>
    <n v="1.0021019999999998"/>
    <x v="2"/>
    <n v="8.5500000000000003E-3"/>
    <x v="0"/>
  </r>
  <r>
    <x v="0"/>
    <x v="29"/>
    <n v="1.5900000000000001E-2"/>
    <n v="5.2850000000000001"/>
    <n v="4.8849999999999998"/>
    <x v="3"/>
    <n v="6.3600000000000004E-2"/>
    <x v="0"/>
  </r>
  <r>
    <x v="0"/>
    <x v="22"/>
    <n v="1.55E-2"/>
    <n v="2.5"/>
    <n v="2.1"/>
    <x v="6"/>
    <n v="3.1E-2"/>
    <x v="0"/>
  </r>
  <r>
    <x v="0"/>
    <x v="22"/>
    <n v="1.55E-2"/>
    <n v="5"/>
    <n v="4.5999999999999996"/>
    <x v="3"/>
    <n v="6.2E-2"/>
    <x v="0"/>
  </r>
  <r>
    <x v="0"/>
    <x v="35"/>
    <n v="1.0500000000000001E-2"/>
    <n v="2.5"/>
    <n v="2.1"/>
    <x v="6"/>
    <n v="2.1000000000000001E-2"/>
    <x v="0"/>
  </r>
  <r>
    <x v="0"/>
    <x v="35"/>
    <n v="1.0500000000000001E-2"/>
    <n v="5"/>
    <n v="4.5999999999999996"/>
    <x v="3"/>
    <n v="4.2000000000000003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22"/>
    <n v="1.55E-2"/>
    <n v="2.6425000000000001"/>
    <n v="2.2425000000000002"/>
    <x v="6"/>
    <n v="3.1E-2"/>
    <x v="0"/>
  </r>
  <r>
    <x v="0"/>
    <x v="22"/>
    <n v="1.55E-2"/>
    <n v="4.8574999999999999"/>
    <n v="4.4574999999999996"/>
    <x v="3"/>
    <n v="6.2E-2"/>
    <x v="0"/>
  </r>
  <r>
    <x v="0"/>
    <x v="32"/>
    <n v="1.78E-2"/>
    <n v="5"/>
    <n v="4.5999999999999996"/>
    <x v="3"/>
    <n v="7.1199999999999999E-2"/>
    <x v="0"/>
  </r>
  <r>
    <x v="0"/>
    <x v="32"/>
    <n v="1.78E-2"/>
    <n v="2.5"/>
    <n v="2.1"/>
    <x v="6"/>
    <n v="3.56E-2"/>
    <x v="0"/>
  </r>
  <r>
    <x v="0"/>
    <x v="78"/>
    <n v="1.8700000000000001E-2"/>
    <n v="2.5"/>
    <n v="2.1"/>
    <x v="6"/>
    <n v="3.7400000000000003E-2"/>
    <x v="1"/>
  </r>
  <r>
    <x v="0"/>
    <x v="78"/>
    <n v="1.8700000000000001E-2"/>
    <n v="2.5"/>
    <n v="2.1"/>
    <x v="6"/>
    <n v="3.7400000000000003E-2"/>
    <x v="1"/>
  </r>
  <r>
    <x v="0"/>
    <x v="78"/>
    <n v="1.8700000000000001E-2"/>
    <n v="2.5"/>
    <n v="2.1"/>
    <x v="6"/>
    <n v="3.7400000000000003E-2"/>
    <x v="1"/>
  </r>
  <r>
    <x v="0"/>
    <x v="1"/>
    <n v="6.1199999999999996E-3"/>
    <n v="2.9729999999999999"/>
    <n v="2.573"/>
    <x v="6"/>
    <n v="1.2239999999999999E-2"/>
    <x v="0"/>
  </r>
  <r>
    <x v="0"/>
    <x v="45"/>
    <n v="9.4500000000000001E-3"/>
    <n v="5.6872600000000002"/>
    <n v="5.2872599999999998"/>
    <x v="7"/>
    <n v="4.725E-2"/>
    <x v="0"/>
  </r>
  <r>
    <x v="0"/>
    <x v="79"/>
    <n v="1.04E-2"/>
    <n v="3.4790000000000001"/>
    <n v="3.0790000000000002"/>
    <x v="1"/>
    <n v="3.1199999999999999E-2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39"/>
    <n v="3.2000000000000002E-3"/>
    <n v="2.2149999999999999"/>
    <n v="1.8149999999999999"/>
    <x v="2"/>
    <n v="3.2000000000000002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6.375"/>
    <n v="5.9749999999999996"/>
    <x v="7"/>
    <n v="1.7950000000000001E-2"/>
    <x v="0"/>
  </r>
  <r>
    <x v="0"/>
    <x v="45"/>
    <n v="9.4500000000000001E-3"/>
    <n v="5.8250000000000002"/>
    <n v="5.4249999999999998"/>
    <x v="7"/>
    <n v="4.725E-2"/>
    <x v="0"/>
  </r>
  <r>
    <x v="0"/>
    <x v="34"/>
    <n v="8.5599999999999999E-3"/>
    <n v="5.8250000000000002"/>
    <n v="5.4249999999999998"/>
    <x v="7"/>
    <n v="4.2799999999999998E-2"/>
    <x v="0"/>
  </r>
  <r>
    <x v="0"/>
    <x v="34"/>
    <n v="8.5599999999999999E-3"/>
    <n v="5.8250000000000002"/>
    <n v="5.4249999999999998"/>
    <x v="7"/>
    <n v="4.2799999999999998E-2"/>
    <x v="0"/>
  </r>
  <r>
    <x v="0"/>
    <x v="45"/>
    <n v="9.4500000000000001E-3"/>
    <n v="5.8250000000000002"/>
    <n v="5.4249999999999998"/>
    <x v="7"/>
    <n v="4.725E-2"/>
    <x v="0"/>
  </r>
  <r>
    <x v="0"/>
    <x v="22"/>
    <n v="1.55E-2"/>
    <n v="7.5"/>
    <n v="7.1"/>
    <x v="0"/>
    <n v="0.1085"/>
    <x v="0"/>
  </r>
  <r>
    <x v="0"/>
    <x v="22"/>
    <n v="1.55E-2"/>
    <n v="6.33"/>
    <n v="5.93"/>
    <x v="7"/>
    <n v="7.7499999999999999E-2"/>
    <x v="0"/>
  </r>
  <r>
    <x v="0"/>
    <x v="79"/>
    <n v="1.04E-2"/>
    <n v="6.9950000000000001"/>
    <n v="6.5949999999999998"/>
    <x v="5"/>
    <n v="6.2399999999999997E-2"/>
    <x v="0"/>
  </r>
  <r>
    <x v="0"/>
    <x v="44"/>
    <n v="1.0500000000000001E-2"/>
    <n v="6.9950000000000001"/>
    <n v="6.5949999999999998"/>
    <x v="5"/>
    <n v="6.3E-2"/>
    <x v="0"/>
  </r>
  <r>
    <x v="0"/>
    <x v="88"/>
    <n v="1.14E-2"/>
    <n v="8.67"/>
    <n v="8.27"/>
    <x v="11"/>
    <n v="9.1200000000000003E-2"/>
    <x v="1"/>
  </r>
  <r>
    <x v="0"/>
    <x v="71"/>
    <n v="8.5500000000000003E-3"/>
    <n v="7.5"/>
    <n v="7.1"/>
    <x v="0"/>
    <n v="5.985E-2"/>
    <x v="0"/>
  </r>
  <r>
    <x v="0"/>
    <x v="71"/>
    <n v="8.5500000000000003E-3"/>
    <n v="7.5"/>
    <n v="7.1"/>
    <x v="0"/>
    <n v="5.985E-2"/>
    <x v="0"/>
  </r>
  <r>
    <x v="0"/>
    <x v="67"/>
    <n v="1.29E-2"/>
    <n v="7.5"/>
    <n v="7.1"/>
    <x v="0"/>
    <n v="9.0300000000000005E-2"/>
    <x v="0"/>
  </r>
  <r>
    <x v="0"/>
    <x v="34"/>
    <n v="8.5599999999999999E-3"/>
    <n v="6.9950000000000001"/>
    <n v="6.5949999999999998"/>
    <x v="5"/>
    <n v="5.1360000000000003E-2"/>
    <x v="0"/>
  </r>
  <r>
    <x v="0"/>
    <x v="36"/>
    <n v="6.4900000000000001E-3"/>
    <n v="5.94"/>
    <n v="5.54"/>
    <x v="7"/>
    <n v="3.245E-2"/>
    <x v="0"/>
  </r>
  <r>
    <x v="0"/>
    <x v="44"/>
    <n v="1.0500000000000001E-2"/>
    <n v="8.67"/>
    <n v="8.27"/>
    <x v="11"/>
    <n v="8.4000000000000005E-2"/>
    <x v="0"/>
  </r>
  <r>
    <x v="0"/>
    <x v="44"/>
    <n v="1.0500000000000001E-2"/>
    <n v="8.67"/>
    <n v="8.27"/>
    <x v="11"/>
    <n v="8.4000000000000005E-2"/>
    <x v="0"/>
  </r>
  <r>
    <x v="0"/>
    <x v="67"/>
    <n v="1.29E-2"/>
    <n v="7.5"/>
    <n v="7.1"/>
    <x v="0"/>
    <n v="9.0300000000000005E-2"/>
    <x v="0"/>
  </r>
  <r>
    <x v="0"/>
    <x v="79"/>
    <n v="1.04E-2"/>
    <n v="7.5"/>
    <n v="7.1"/>
    <x v="0"/>
    <n v="7.2800000000000004E-2"/>
    <x v="0"/>
  </r>
  <r>
    <x v="0"/>
    <x v="38"/>
    <n v="1.17E-2"/>
    <n v="7.5"/>
    <n v="7.1"/>
    <x v="0"/>
    <n v="8.1900000000000001E-2"/>
    <x v="0"/>
  </r>
  <r>
    <x v="0"/>
    <x v="48"/>
    <n v="7.62E-3"/>
    <n v="5.94"/>
    <n v="5.54"/>
    <x v="7"/>
    <n v="3.8100000000000002E-2"/>
    <x v="0"/>
  </r>
  <r>
    <x v="0"/>
    <x v="67"/>
    <n v="1.29E-2"/>
    <n v="7.5"/>
    <n v="7.1"/>
    <x v="0"/>
    <n v="9.0300000000000005E-2"/>
    <x v="0"/>
  </r>
  <r>
    <x v="0"/>
    <x v="29"/>
    <n v="1.5900000000000001E-2"/>
    <n v="8.67"/>
    <n v="8.27"/>
    <x v="11"/>
    <n v="0.12720000000000001"/>
    <x v="0"/>
  </r>
  <r>
    <x v="3"/>
    <x v="81"/>
    <n v="2.01E-2"/>
    <n v="7.5"/>
    <n v="7.1"/>
    <x v="0"/>
    <n v="0.14069999999999999"/>
    <x v="0"/>
  </r>
  <r>
    <x v="0"/>
    <x v="92"/>
    <n v="1.78E-2"/>
    <n v="9.7949999999999999"/>
    <n v="9.3949999999999996"/>
    <x v="9"/>
    <n v="0.16020000000000001"/>
    <x v="1"/>
  </r>
  <r>
    <x v="0"/>
    <x v="29"/>
    <n v="1.5900000000000001E-2"/>
    <n v="7.5"/>
    <n v="7.1"/>
    <x v="0"/>
    <n v="0.11130000000000001"/>
    <x v="0"/>
  </r>
  <r>
    <x v="0"/>
    <x v="24"/>
    <n v="2.8E-3"/>
    <n v="0.505"/>
    <n v="0.10499999999999998"/>
    <x v="4"/>
    <n v="0"/>
    <x v="0"/>
  </r>
  <r>
    <x v="0"/>
    <x v="24"/>
    <n v="2.8E-3"/>
    <n v="0.92500000000000004"/>
    <n v="0.52500000000000002"/>
    <x v="4"/>
    <n v="0"/>
    <x v="0"/>
  </r>
  <r>
    <x v="0"/>
    <x v="24"/>
    <n v="2.8E-3"/>
    <n v="0.92500000000000004"/>
    <n v="0.52500000000000002"/>
    <x v="4"/>
    <n v="0"/>
    <x v="0"/>
  </r>
  <r>
    <x v="0"/>
    <x v="24"/>
    <n v="2.8E-3"/>
    <n v="0.505"/>
    <n v="0.10499999999999998"/>
    <x v="4"/>
    <n v="0"/>
    <x v="0"/>
  </r>
  <r>
    <x v="0"/>
    <x v="45"/>
    <n v="9.4500000000000001E-3"/>
    <n v="6.9950000000000001"/>
    <n v="6.5949999999999998"/>
    <x v="5"/>
    <n v="5.67E-2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45"/>
    <n v="9.4500000000000001E-3"/>
    <n v="7.5"/>
    <n v="7.1"/>
    <x v="0"/>
    <n v="6.615E-2"/>
    <x v="0"/>
  </r>
  <r>
    <x v="0"/>
    <x v="45"/>
    <n v="9.4500000000000001E-3"/>
    <n v="6.9950000000000001"/>
    <n v="6.5949999999999998"/>
    <x v="5"/>
    <n v="5.67E-2"/>
    <x v="0"/>
  </r>
  <r>
    <x v="0"/>
    <x v="45"/>
    <n v="9.4500000000000001E-3"/>
    <n v="6.9950000000000001"/>
    <n v="6.5949999999999998"/>
    <x v="5"/>
    <n v="5.67E-2"/>
    <x v="0"/>
  </r>
  <r>
    <x v="0"/>
    <x v="45"/>
    <n v="9.4500000000000001E-3"/>
    <n v="6.9950000000000001"/>
    <n v="6.5949999999999998"/>
    <x v="5"/>
    <n v="5.67E-2"/>
    <x v="0"/>
  </r>
  <r>
    <x v="0"/>
    <x v="46"/>
    <n v="3.6099999999999999E-3"/>
    <n v="3.25"/>
    <n v="2.85"/>
    <x v="6"/>
    <n v="7.2199999999999999E-3"/>
    <x v="0"/>
  </r>
  <r>
    <x v="0"/>
    <x v="9"/>
    <n v="4.7200000000000002E-3"/>
    <n v="3.25"/>
    <n v="2.85"/>
    <x v="6"/>
    <n v="9.4400000000000005E-3"/>
    <x v="1"/>
  </r>
  <r>
    <x v="0"/>
    <x v="24"/>
    <n v="2.8E-3"/>
    <n v="1.97"/>
    <n v="1.5699999999999998"/>
    <x v="2"/>
    <n v="2.8E-3"/>
    <x v="0"/>
  </r>
  <r>
    <x v="0"/>
    <x v="24"/>
    <n v="2.8E-3"/>
    <n v="1.97"/>
    <n v="1.5699999999999998"/>
    <x v="2"/>
    <n v="2.8E-3"/>
    <x v="0"/>
  </r>
  <r>
    <x v="0"/>
    <x v="34"/>
    <n v="8.5599999999999999E-3"/>
    <n v="6.1749999999999998"/>
    <n v="5.7749999999999995"/>
    <x v="7"/>
    <n v="4.2799999999999998E-2"/>
    <x v="0"/>
  </r>
  <r>
    <x v="0"/>
    <x v="24"/>
    <n v="2.8E-3"/>
    <n v="2.0099999999999998"/>
    <n v="1.6099999999999999"/>
    <x v="2"/>
    <n v="2.8E-3"/>
    <x v="0"/>
  </r>
  <r>
    <x v="0"/>
    <x v="24"/>
    <n v="2.8E-3"/>
    <n v="2.0110000000000001"/>
    <n v="1.6110000000000002"/>
    <x v="2"/>
    <n v="2.8E-3"/>
    <x v="0"/>
  </r>
  <r>
    <x v="0"/>
    <x v="90"/>
    <n v="7.6499999999999997E-3"/>
    <n v="4.9835000000000003"/>
    <n v="4.5834999999999999"/>
    <x v="3"/>
    <n v="3.0599999999999999E-2"/>
    <x v="0"/>
  </r>
  <r>
    <x v="0"/>
    <x v="24"/>
    <n v="2.8E-3"/>
    <n v="2.0099999999999998"/>
    <n v="1.6099999999999999"/>
    <x v="2"/>
    <n v="2.8E-3"/>
    <x v="0"/>
  </r>
  <r>
    <x v="0"/>
    <x v="24"/>
    <n v="2.8E-3"/>
    <n v="2.0110000000000001"/>
    <n v="1.6110000000000002"/>
    <x v="2"/>
    <n v="2.8E-3"/>
    <x v="0"/>
  </r>
  <r>
    <x v="0"/>
    <x v="40"/>
    <n v="4.1799999999999997E-3"/>
    <n v="2.85"/>
    <n v="2.4500000000000002"/>
    <x v="6"/>
    <n v="8.3599999999999994E-3"/>
    <x v="0"/>
  </r>
  <r>
    <x v="0"/>
    <x v="40"/>
    <n v="4.1799999999999997E-3"/>
    <n v="2.85"/>
    <n v="2.4500000000000002"/>
    <x v="6"/>
    <n v="8.3599999999999994E-3"/>
    <x v="0"/>
  </r>
  <r>
    <x v="0"/>
    <x v="40"/>
    <n v="4.1799999999999997E-3"/>
    <n v="2.85"/>
    <n v="2.4500000000000002"/>
    <x v="6"/>
    <n v="8.3599999999999994E-3"/>
    <x v="0"/>
  </r>
  <r>
    <x v="0"/>
    <x v="40"/>
    <n v="4.1799999999999997E-3"/>
    <n v="1.9950000000000001"/>
    <n v="1.5950000000000002"/>
    <x v="2"/>
    <n v="4.1799999999999997E-3"/>
    <x v="0"/>
  </r>
  <r>
    <x v="0"/>
    <x v="24"/>
    <n v="2.8E-3"/>
    <n v="1.7749999999999999"/>
    <n v="1.375"/>
    <x v="2"/>
    <n v="2.8E-3"/>
    <x v="0"/>
  </r>
  <r>
    <x v="0"/>
    <x v="24"/>
    <n v="2.8E-3"/>
    <n v="1.7749999999999999"/>
    <n v="1.375"/>
    <x v="2"/>
    <n v="2.8E-3"/>
    <x v="0"/>
  </r>
  <r>
    <x v="0"/>
    <x v="88"/>
    <n v="1.14E-2"/>
    <n v="7.5"/>
    <n v="7.1"/>
    <x v="0"/>
    <n v="7.980000000000001E-2"/>
    <x v="1"/>
  </r>
  <r>
    <x v="0"/>
    <x v="33"/>
    <n v="1.29E-2"/>
    <n v="7.5"/>
    <n v="7.1"/>
    <x v="0"/>
    <n v="9.0300000000000005E-2"/>
    <x v="0"/>
  </r>
  <r>
    <x v="0"/>
    <x v="101"/>
    <n v="2.5100000000000001E-2"/>
    <n v="9.31"/>
    <n v="8.91"/>
    <x v="11"/>
    <n v="0.20080000000000001"/>
    <x v="1"/>
  </r>
  <r>
    <x v="0"/>
    <x v="101"/>
    <n v="2.5100000000000001E-2"/>
    <n v="9.31"/>
    <n v="8.91"/>
    <x v="11"/>
    <n v="0.20080000000000001"/>
    <x v="1"/>
  </r>
  <r>
    <x v="0"/>
    <x v="101"/>
    <n v="2.5100000000000001E-2"/>
    <n v="8.67"/>
    <n v="8.27"/>
    <x v="11"/>
    <n v="0.20080000000000001"/>
    <x v="1"/>
  </r>
  <r>
    <x v="0"/>
    <x v="101"/>
    <n v="2.5100000000000001E-2"/>
    <n v="8.67"/>
    <n v="8.27"/>
    <x v="11"/>
    <n v="0.20080000000000001"/>
    <x v="1"/>
  </r>
  <r>
    <x v="0"/>
    <x v="102"/>
    <n v="3.6799999999999999E-2"/>
    <n v="8.67"/>
    <n v="8.27"/>
    <x v="11"/>
    <n v="0.2944"/>
    <x v="1"/>
  </r>
  <r>
    <x v="0"/>
    <x v="102"/>
    <n v="3.6799999999999999E-2"/>
    <n v="8.67"/>
    <n v="8.27"/>
    <x v="11"/>
    <n v="0.2944"/>
    <x v="1"/>
  </r>
  <r>
    <x v="0"/>
    <x v="40"/>
    <n v="4.1799999999999997E-3"/>
    <n v="3.03"/>
    <n v="2.63"/>
    <x v="6"/>
    <n v="8.3599999999999994E-3"/>
    <x v="0"/>
  </r>
  <r>
    <x v="0"/>
    <x v="40"/>
    <n v="4.1799999999999997E-3"/>
    <n v="3.03"/>
    <n v="2.63"/>
    <x v="6"/>
    <n v="8.3599999999999994E-3"/>
    <x v="0"/>
  </r>
  <r>
    <x v="0"/>
    <x v="40"/>
    <n v="4.1799999999999997E-3"/>
    <n v="3.03"/>
    <n v="2.63"/>
    <x v="6"/>
    <n v="8.3599999999999994E-3"/>
    <x v="0"/>
  </r>
  <r>
    <x v="0"/>
    <x v="40"/>
    <n v="4.1799999999999997E-3"/>
    <n v="3.03"/>
    <n v="2.63"/>
    <x v="6"/>
    <n v="8.3599999999999994E-3"/>
    <x v="0"/>
  </r>
  <r>
    <x v="0"/>
    <x v="7"/>
    <n v="1.2500000000000001E-2"/>
    <n v="2.9929999999999999"/>
    <n v="2.593"/>
    <x v="6"/>
    <n v="2.5000000000000001E-2"/>
    <x v="0"/>
  </r>
  <r>
    <x v="0"/>
    <x v="7"/>
    <n v="1.2500000000000001E-2"/>
    <n v="2.6840000000000002"/>
    <n v="2.2840000000000003"/>
    <x v="6"/>
    <n v="2.5000000000000001E-2"/>
    <x v="0"/>
  </r>
  <r>
    <x v="0"/>
    <x v="7"/>
    <n v="1.2500000000000001E-2"/>
    <n v="2.9929999999999999"/>
    <n v="2.593"/>
    <x v="6"/>
    <n v="2.5000000000000001E-2"/>
    <x v="0"/>
  </r>
  <r>
    <x v="0"/>
    <x v="7"/>
    <n v="1.2500000000000001E-2"/>
    <n v="2.9929999999999999"/>
    <n v="2.593"/>
    <x v="6"/>
    <n v="2.5000000000000001E-2"/>
    <x v="0"/>
  </r>
  <r>
    <x v="0"/>
    <x v="7"/>
    <n v="1.2500000000000001E-2"/>
    <n v="2.6840000000000002"/>
    <n v="2.2840000000000003"/>
    <x v="6"/>
    <n v="2.5000000000000001E-2"/>
    <x v="0"/>
  </r>
  <r>
    <x v="0"/>
    <x v="7"/>
    <n v="1.2500000000000001E-2"/>
    <n v="2.9929999999999999"/>
    <n v="2.593"/>
    <x v="6"/>
    <n v="2.5000000000000001E-2"/>
    <x v="0"/>
  </r>
  <r>
    <x v="0"/>
    <x v="2"/>
    <n v="3.9699999999999996E-3"/>
    <n v="4.0199999999999996"/>
    <n v="3.6199999999999997"/>
    <x v="1"/>
    <n v="1.1909999999999999E-2"/>
    <x v="0"/>
  </r>
  <r>
    <x v="0"/>
    <x v="40"/>
    <n v="4.1799999999999997E-3"/>
    <n v="5.94"/>
    <n v="5.54"/>
    <x v="7"/>
    <n v="2.0899999999999998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4.0199999999999996"/>
    <n v="3.6199999999999997"/>
    <x v="1"/>
    <n v="1.1909999999999999E-2"/>
    <x v="0"/>
  </r>
  <r>
    <x v="0"/>
    <x v="24"/>
    <n v="2.8E-3"/>
    <n v="1.22"/>
    <n v="0.82"/>
    <x v="4"/>
    <n v="0"/>
    <x v="0"/>
  </r>
  <r>
    <x v="0"/>
    <x v="8"/>
    <n v="5.3400000000000001E-3"/>
    <n v="1.585"/>
    <n v="1.1850000000000001"/>
    <x v="2"/>
    <n v="5.3400000000000001E-3"/>
    <x v="0"/>
  </r>
  <r>
    <x v="0"/>
    <x v="24"/>
    <n v="2.8E-3"/>
    <n v="0.72499999999999998"/>
    <n v="0.32499999999999996"/>
    <x v="4"/>
    <n v="0"/>
    <x v="0"/>
  </r>
  <r>
    <x v="0"/>
    <x v="24"/>
    <n v="2.8E-3"/>
    <n v="1.22"/>
    <n v="0.82"/>
    <x v="4"/>
    <n v="0"/>
    <x v="0"/>
  </r>
  <r>
    <x v="0"/>
    <x v="2"/>
    <n v="3.9699999999999996E-3"/>
    <n v="4.0199999999999996"/>
    <n v="3.6199999999999997"/>
    <x v="1"/>
    <n v="1.1909999999999999E-2"/>
    <x v="0"/>
  </r>
  <r>
    <x v="0"/>
    <x v="40"/>
    <n v="4.1799999999999997E-3"/>
    <n v="5.94"/>
    <n v="5.54"/>
    <x v="7"/>
    <n v="2.0899999999999998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4"/>
    <n v="2.8E-3"/>
    <n v="1.22"/>
    <n v="0.82"/>
    <x v="4"/>
    <n v="0"/>
    <x v="0"/>
  </r>
  <r>
    <x v="0"/>
    <x v="40"/>
    <n v="4.1799999999999997E-3"/>
    <n v="4.0199999999999996"/>
    <n v="3.6199999999999997"/>
    <x v="1"/>
    <n v="1.2539999999999999E-2"/>
    <x v="0"/>
  </r>
  <r>
    <x v="0"/>
    <x v="24"/>
    <n v="2.8E-3"/>
    <n v="0.72499999999999998"/>
    <n v="0.32499999999999996"/>
    <x v="4"/>
    <n v="0"/>
    <x v="0"/>
  </r>
  <r>
    <x v="0"/>
    <x v="8"/>
    <n v="5.3400000000000001E-3"/>
    <n v="1.585"/>
    <n v="1.1850000000000001"/>
    <x v="2"/>
    <n v="5.3400000000000001E-3"/>
    <x v="0"/>
  </r>
  <r>
    <x v="0"/>
    <x v="24"/>
    <n v="2.8E-3"/>
    <n v="1.22"/>
    <n v="0.82"/>
    <x v="4"/>
    <n v="0"/>
    <x v="0"/>
  </r>
  <r>
    <x v="0"/>
    <x v="24"/>
    <n v="2.8E-3"/>
    <n v="1.9850000000000001"/>
    <n v="1.585"/>
    <x v="2"/>
    <n v="2.8E-3"/>
    <x v="0"/>
  </r>
  <r>
    <x v="0"/>
    <x v="24"/>
    <n v="2.8E-3"/>
    <n v="1.5"/>
    <n v="1.1000000000000001"/>
    <x v="2"/>
    <n v="2.8E-3"/>
    <x v="0"/>
  </r>
  <r>
    <x v="0"/>
    <x v="24"/>
    <n v="2.8E-3"/>
    <n v="1.5"/>
    <n v="1.1000000000000001"/>
    <x v="2"/>
    <n v="2.8E-3"/>
    <x v="0"/>
  </r>
  <r>
    <x v="0"/>
    <x v="24"/>
    <n v="2.8E-3"/>
    <n v="1.2"/>
    <n v="0.79999999999999993"/>
    <x v="4"/>
    <n v="0"/>
    <x v="0"/>
  </r>
  <r>
    <x v="0"/>
    <x v="24"/>
    <n v="2.8E-3"/>
    <n v="1.5"/>
    <n v="1.1000000000000001"/>
    <x v="2"/>
    <n v="2.8E-3"/>
    <x v="0"/>
  </r>
  <r>
    <x v="0"/>
    <x v="24"/>
    <n v="2.8E-3"/>
    <n v="1.5"/>
    <n v="1.1000000000000001"/>
    <x v="2"/>
    <n v="2.8E-3"/>
    <x v="0"/>
  </r>
  <r>
    <x v="0"/>
    <x v="24"/>
    <n v="2.8E-3"/>
    <n v="1.2"/>
    <n v="0.79999999999999993"/>
    <x v="4"/>
    <n v="0"/>
    <x v="0"/>
  </r>
  <r>
    <x v="0"/>
    <x v="24"/>
    <n v="2.8E-3"/>
    <n v="1.9850000000000001"/>
    <n v="1.585"/>
    <x v="2"/>
    <n v="2.8E-3"/>
    <x v="0"/>
  </r>
  <r>
    <x v="0"/>
    <x v="67"/>
    <n v="1.29E-2"/>
    <n v="8.67"/>
    <n v="8.27"/>
    <x v="11"/>
    <n v="0.1032"/>
    <x v="0"/>
  </r>
  <r>
    <x v="0"/>
    <x v="34"/>
    <n v="8.5599999999999999E-3"/>
    <n v="7.5"/>
    <n v="7.1"/>
    <x v="0"/>
    <n v="5.9920000000000001E-2"/>
    <x v="0"/>
  </r>
  <r>
    <x v="0"/>
    <x v="34"/>
    <n v="8.5599999999999999E-3"/>
    <n v="7.5"/>
    <n v="7.1"/>
    <x v="0"/>
    <n v="5.9920000000000001E-2"/>
    <x v="0"/>
  </r>
  <r>
    <x v="0"/>
    <x v="67"/>
    <n v="1.29E-2"/>
    <n v="7.5"/>
    <n v="7.1"/>
    <x v="0"/>
    <n v="9.0300000000000005E-2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1"/>
    <n v="4.9800000000000001E-3"/>
    <n v="7.5"/>
    <n v="7.1"/>
    <x v="0"/>
    <n v="3.4860000000000002E-2"/>
    <x v="0"/>
  </r>
  <r>
    <x v="0"/>
    <x v="67"/>
    <n v="1.29E-2"/>
    <n v="7.5"/>
    <n v="7.1"/>
    <x v="0"/>
    <n v="9.0300000000000005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7"/>
    <n v="3.5899999999999999E-3"/>
    <n v="7.5"/>
    <n v="7.1"/>
    <x v="0"/>
    <n v="2.513E-2"/>
    <x v="0"/>
  </r>
  <r>
    <x v="0"/>
    <x v="34"/>
    <n v="8.5599999999999999E-3"/>
    <n v="4.7149999999999999"/>
    <n v="4.3149999999999995"/>
    <x v="3"/>
    <n v="3.424E-2"/>
    <x v="0"/>
  </r>
  <r>
    <x v="0"/>
    <x v="10"/>
    <n v="7.26E-3"/>
    <n v="5"/>
    <n v="4.5999999999999996"/>
    <x v="3"/>
    <n v="2.904E-2"/>
    <x v="0"/>
  </r>
  <r>
    <x v="0"/>
    <x v="10"/>
    <n v="7.26E-3"/>
    <n v="5"/>
    <n v="4.5999999999999996"/>
    <x v="3"/>
    <n v="2.904E-2"/>
    <x v="0"/>
  </r>
  <r>
    <x v="0"/>
    <x v="34"/>
    <n v="8.5599999999999999E-3"/>
    <n v="4.7149999999999999"/>
    <n v="4.3149999999999995"/>
    <x v="3"/>
    <n v="3.424E-2"/>
    <x v="0"/>
  </r>
  <r>
    <x v="0"/>
    <x v="28"/>
    <n v="5.7299999999999999E-3"/>
    <n v="5.94"/>
    <n v="5.54"/>
    <x v="7"/>
    <n v="2.8649999999999998E-2"/>
    <x v="0"/>
  </r>
  <r>
    <x v="0"/>
    <x v="71"/>
    <n v="8.5500000000000003E-3"/>
    <n v="5.94"/>
    <n v="5.54"/>
    <x v="7"/>
    <n v="4.2750000000000003E-2"/>
    <x v="0"/>
  </r>
  <r>
    <x v="0"/>
    <x v="90"/>
    <n v="7.6499999999999997E-3"/>
    <n v="5.94"/>
    <n v="5.54"/>
    <x v="7"/>
    <n v="3.8249999999999999E-2"/>
    <x v="0"/>
  </r>
  <r>
    <x v="0"/>
    <x v="90"/>
    <n v="7.6499999999999997E-3"/>
    <n v="5.94"/>
    <n v="5.54"/>
    <x v="7"/>
    <n v="3.8249999999999999E-2"/>
    <x v="0"/>
  </r>
  <r>
    <x v="0"/>
    <x v="90"/>
    <n v="7.6499999999999997E-3"/>
    <n v="5.94"/>
    <n v="5.54"/>
    <x v="7"/>
    <n v="3.8249999999999999E-2"/>
    <x v="0"/>
  </r>
  <r>
    <x v="0"/>
    <x v="28"/>
    <n v="5.7299999999999999E-3"/>
    <n v="5.94"/>
    <n v="5.54"/>
    <x v="7"/>
    <n v="2.8649999999999998E-2"/>
    <x v="0"/>
  </r>
  <r>
    <x v="0"/>
    <x v="24"/>
    <n v="2.8E-3"/>
    <n v="1.22"/>
    <n v="0.82"/>
    <x v="4"/>
    <n v="0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"/>
    <n v="1.6"/>
    <x v="2"/>
    <n v="2.8E-3"/>
    <x v="0"/>
  </r>
  <r>
    <x v="0"/>
    <x v="24"/>
    <n v="2.8E-3"/>
    <n v="1.7"/>
    <n v="1.2999999999999998"/>
    <x v="2"/>
    <n v="2.8E-3"/>
    <x v="0"/>
  </r>
  <r>
    <x v="0"/>
    <x v="24"/>
    <n v="2.8E-3"/>
    <n v="1.3"/>
    <n v="0.9"/>
    <x v="4"/>
    <n v="0"/>
    <x v="0"/>
  </r>
  <r>
    <x v="0"/>
    <x v="24"/>
    <n v="2.8E-3"/>
    <n v="2"/>
    <n v="1.6"/>
    <x v="2"/>
    <n v="2.8E-3"/>
    <x v="0"/>
  </r>
  <r>
    <x v="0"/>
    <x v="24"/>
    <n v="2.8E-3"/>
    <n v="1.7"/>
    <n v="1.2999999999999998"/>
    <x v="2"/>
    <n v="2.8E-3"/>
    <x v="0"/>
  </r>
  <r>
    <x v="0"/>
    <x v="24"/>
    <n v="2.8E-3"/>
    <n v="1.3"/>
    <n v="0.9"/>
    <x v="4"/>
    <n v="0"/>
    <x v="0"/>
  </r>
  <r>
    <x v="0"/>
    <x v="34"/>
    <n v="8.5599999999999999E-3"/>
    <n v="5.94"/>
    <n v="5.54"/>
    <x v="7"/>
    <n v="4.2799999999999998E-2"/>
    <x v="0"/>
  </r>
  <r>
    <x v="0"/>
    <x v="34"/>
    <n v="8.5599999999999999E-3"/>
    <n v="5.94"/>
    <n v="5.54"/>
    <x v="7"/>
    <n v="4.2799999999999998E-2"/>
    <x v="0"/>
  </r>
  <r>
    <x v="0"/>
    <x v="8"/>
    <n v="5.3400000000000001E-3"/>
    <n v="9.31"/>
    <n v="8.91"/>
    <x v="11"/>
    <n v="4.2720000000000001E-2"/>
    <x v="0"/>
  </r>
  <r>
    <x v="0"/>
    <x v="8"/>
    <n v="5.3400000000000001E-3"/>
    <n v="9.31"/>
    <n v="8.91"/>
    <x v="11"/>
    <n v="4.2720000000000001E-2"/>
    <x v="0"/>
  </r>
  <r>
    <x v="0"/>
    <x v="8"/>
    <n v="5.3400000000000001E-3"/>
    <n v="9.31"/>
    <n v="8.91"/>
    <x v="11"/>
    <n v="4.2720000000000001E-2"/>
    <x v="0"/>
  </r>
  <r>
    <x v="0"/>
    <x v="92"/>
    <n v="1.78E-2"/>
    <n v="9.31"/>
    <n v="8.91"/>
    <x v="11"/>
    <n v="0.1424"/>
    <x v="1"/>
  </r>
  <r>
    <x v="0"/>
    <x v="92"/>
    <n v="1.78E-2"/>
    <n v="9.31"/>
    <n v="8.91"/>
    <x v="11"/>
    <n v="0.1424"/>
    <x v="1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7"/>
    <n v="3.5899999999999999E-3"/>
    <n v="1.7829999999999999"/>
    <n v="1.383"/>
    <x v="2"/>
    <n v="3.5899999999999999E-3"/>
    <x v="0"/>
  </r>
  <r>
    <x v="0"/>
    <x v="37"/>
    <n v="3.5899999999999999E-3"/>
    <n v="1.3779999999999999"/>
    <n v="0.97799999999999987"/>
    <x v="4"/>
    <n v="0"/>
    <x v="0"/>
  </r>
  <r>
    <x v="0"/>
    <x v="37"/>
    <n v="3.5899999999999999E-3"/>
    <n v="1.6739999999999999"/>
    <n v="1.274"/>
    <x v="2"/>
    <n v="3.5899999999999999E-3"/>
    <x v="0"/>
  </r>
  <r>
    <x v="0"/>
    <x v="37"/>
    <n v="3.5899999999999999E-3"/>
    <n v="1.4870000000000001"/>
    <n v="1.0870000000000002"/>
    <x v="2"/>
    <n v="3.5899999999999999E-3"/>
    <x v="0"/>
  </r>
  <r>
    <x v="0"/>
    <x v="37"/>
    <n v="3.5899999999999999E-3"/>
    <n v="1.3779999999999999"/>
    <n v="0.97799999999999987"/>
    <x v="4"/>
    <n v="0"/>
    <x v="0"/>
  </r>
  <r>
    <x v="0"/>
    <x v="37"/>
    <n v="3.5899999999999999E-3"/>
    <n v="1.4870000000000001"/>
    <n v="1.0870000000000002"/>
    <x v="2"/>
    <n v="3.5899999999999999E-3"/>
    <x v="0"/>
  </r>
  <r>
    <x v="0"/>
    <x v="37"/>
    <n v="3.5899999999999999E-3"/>
    <n v="1.494"/>
    <n v="1.0939999999999999"/>
    <x v="2"/>
    <n v="3.5899999999999999E-3"/>
    <x v="0"/>
  </r>
  <r>
    <x v="0"/>
    <x v="37"/>
    <n v="3.5899999999999999E-3"/>
    <n v="1.3779999999999999"/>
    <n v="0.97799999999999987"/>
    <x v="4"/>
    <n v="0"/>
    <x v="0"/>
  </r>
  <r>
    <x v="6"/>
    <x v="103"/>
    <n v="2.1199999999999999E-3"/>
    <n v="7.5336449999999999"/>
    <n v="7.1336449999999996"/>
    <x v="0"/>
    <n v="1.4839999999999999E-2"/>
    <x v="0"/>
  </r>
  <r>
    <x v="6"/>
    <x v="103"/>
    <n v="2.1199999999999999E-3"/>
    <n v="7.7149619999999999"/>
    <n v="7.3149619999999995"/>
    <x v="0"/>
    <n v="1.4839999999999999E-2"/>
    <x v="0"/>
  </r>
  <r>
    <x v="6"/>
    <x v="103"/>
    <n v="2.1199999999999999E-3"/>
    <n v="7.7149619999999999"/>
    <n v="7.3149619999999995"/>
    <x v="0"/>
    <n v="1.4839999999999999E-2"/>
    <x v="0"/>
  </r>
  <r>
    <x v="6"/>
    <x v="103"/>
    <n v="2.1199999999999999E-3"/>
    <n v="7.5336449999999999"/>
    <n v="7.1336449999999996"/>
    <x v="0"/>
    <n v="1.4839999999999999E-2"/>
    <x v="0"/>
  </r>
  <r>
    <x v="6"/>
    <x v="103"/>
    <n v="2.1199999999999999E-3"/>
    <n v="7.5336449999999999"/>
    <n v="7.1336449999999996"/>
    <x v="0"/>
    <n v="1.4839999999999999E-2"/>
    <x v="0"/>
  </r>
  <r>
    <x v="6"/>
    <x v="103"/>
    <n v="2.1199999999999999E-3"/>
    <n v="7.5336449999999999"/>
    <n v="7.1336449999999996"/>
    <x v="0"/>
    <n v="1.4839999999999999E-2"/>
    <x v="0"/>
  </r>
  <r>
    <x v="0"/>
    <x v="4"/>
    <n v="6.8799999999999998E-3"/>
    <n v="3.2450000000000001"/>
    <n v="2.8450000000000002"/>
    <x v="6"/>
    <n v="1.376E-2"/>
    <x v="0"/>
  </r>
  <r>
    <x v="0"/>
    <x v="4"/>
    <n v="6.8799999999999998E-3"/>
    <n v="3.9660000000000002"/>
    <n v="3.5660000000000003"/>
    <x v="1"/>
    <n v="2.0639999999999999E-2"/>
    <x v="0"/>
  </r>
  <r>
    <x v="0"/>
    <x v="46"/>
    <n v="3.6099999999999999E-3"/>
    <n v="3.9660000000000002"/>
    <n v="3.5660000000000003"/>
    <x v="1"/>
    <n v="1.0829999999999999E-2"/>
    <x v="0"/>
  </r>
  <r>
    <x v="0"/>
    <x v="46"/>
    <n v="3.6099999999999999E-3"/>
    <n v="3.9660000000000002"/>
    <n v="3.5660000000000003"/>
    <x v="1"/>
    <n v="1.0829999999999999E-2"/>
    <x v="0"/>
  </r>
  <r>
    <x v="0"/>
    <x v="46"/>
    <n v="3.6099999999999999E-3"/>
    <n v="3.2450000000000001"/>
    <n v="2.8450000000000002"/>
    <x v="6"/>
    <n v="7.2199999999999999E-3"/>
    <x v="0"/>
  </r>
  <r>
    <x v="0"/>
    <x v="46"/>
    <n v="3.6099999999999999E-3"/>
    <n v="3.2450000000000001"/>
    <n v="2.8450000000000002"/>
    <x v="6"/>
    <n v="7.2199999999999999E-3"/>
    <x v="0"/>
  </r>
  <r>
    <x v="0"/>
    <x v="24"/>
    <n v="2.8E-3"/>
    <n v="3.3479999999999999"/>
    <n v="2.948"/>
    <x v="6"/>
    <n v="5.5999999999999999E-3"/>
    <x v="0"/>
  </r>
  <r>
    <x v="0"/>
    <x v="24"/>
    <n v="2.8E-3"/>
    <n v="3.3479999999999999"/>
    <n v="2.948"/>
    <x v="6"/>
    <n v="5.5999999999999999E-3"/>
    <x v="0"/>
  </r>
  <r>
    <x v="6"/>
    <x v="103"/>
    <n v="2.1199999999999999E-3"/>
    <n v="6.8980819999999996"/>
    <n v="6.4980819999999992"/>
    <x v="5"/>
    <n v="1.2719999999999999E-2"/>
    <x v="0"/>
  </r>
  <r>
    <x v="6"/>
    <x v="103"/>
    <n v="2.1199999999999999E-3"/>
    <n v="6.8980819999999996"/>
    <n v="6.4980819999999992"/>
    <x v="5"/>
    <n v="1.2719999999999999E-2"/>
    <x v="0"/>
  </r>
  <r>
    <x v="6"/>
    <x v="103"/>
    <n v="2.1199999999999999E-3"/>
    <n v="6.5103299999999997"/>
    <n v="6.1103299999999994"/>
    <x v="5"/>
    <n v="1.2719999999999999E-2"/>
    <x v="0"/>
  </r>
  <r>
    <x v="6"/>
    <x v="103"/>
    <n v="2.1199999999999999E-3"/>
    <n v="6.5103299999999997"/>
    <n v="6.1103299999999994"/>
    <x v="5"/>
    <n v="1.2719999999999999E-2"/>
    <x v="0"/>
  </r>
  <r>
    <x v="0"/>
    <x v="24"/>
    <n v="2.8E-3"/>
    <n v="3.3479999999999999"/>
    <n v="2.948"/>
    <x v="6"/>
    <n v="5.5999999999999999E-3"/>
    <x v="0"/>
  </r>
  <r>
    <x v="3"/>
    <x v="104"/>
    <n v="5.8700000000000002E-3"/>
    <n v="3.0840000000000001"/>
    <n v="2.6840000000000002"/>
    <x v="6"/>
    <n v="1.174E-2"/>
    <x v="0"/>
  </r>
  <r>
    <x v="3"/>
    <x v="104"/>
    <n v="5.8700000000000002E-3"/>
    <n v="4.7149999999999999"/>
    <n v="4.3149999999999995"/>
    <x v="3"/>
    <n v="2.3480000000000001E-2"/>
    <x v="0"/>
  </r>
  <r>
    <x v="3"/>
    <x v="104"/>
    <n v="5.8700000000000002E-3"/>
    <n v="5.94"/>
    <n v="5.54"/>
    <x v="7"/>
    <n v="2.9350000000000001E-2"/>
    <x v="0"/>
  </r>
  <r>
    <x v="3"/>
    <x v="104"/>
    <n v="5.8700000000000002E-3"/>
    <n v="4.851"/>
    <n v="4.4509999999999996"/>
    <x v="3"/>
    <n v="2.3480000000000001E-2"/>
    <x v="0"/>
  </r>
  <r>
    <x v="0"/>
    <x v="24"/>
    <n v="2.8E-3"/>
    <n v="3.3479999999999999"/>
    <n v="2.948"/>
    <x v="6"/>
    <n v="5.5999999999999999E-3"/>
    <x v="0"/>
  </r>
  <r>
    <x v="5"/>
    <x v="59"/>
    <n v="1.47E-2"/>
    <n v="3.6"/>
    <n v="3.2"/>
    <x v="1"/>
    <n v="4.41E-2"/>
    <x v="0"/>
  </r>
  <r>
    <x v="5"/>
    <x v="59"/>
    <n v="1.47E-2"/>
    <n v="7.84"/>
    <n v="7.4399999999999995"/>
    <x v="0"/>
    <n v="0.10289999999999999"/>
    <x v="0"/>
  </r>
  <r>
    <x v="5"/>
    <x v="59"/>
    <n v="1.47E-2"/>
    <n v="3.6"/>
    <n v="3.2"/>
    <x v="1"/>
    <n v="4.41E-2"/>
    <x v="0"/>
  </r>
  <r>
    <x v="5"/>
    <x v="59"/>
    <n v="1.47E-2"/>
    <n v="7.84"/>
    <n v="7.4399999999999995"/>
    <x v="0"/>
    <n v="0.10289999999999999"/>
    <x v="0"/>
  </r>
  <r>
    <x v="4"/>
    <x v="105"/>
    <n v="5.7999999999999996E-3"/>
    <n v="3.48"/>
    <n v="3.08"/>
    <x v="1"/>
    <n v="1.7399999999999999E-2"/>
    <x v="1"/>
  </r>
  <r>
    <x v="4"/>
    <x v="105"/>
    <n v="5.7999999999999996E-3"/>
    <n v="3.48"/>
    <n v="3.08"/>
    <x v="1"/>
    <n v="1.7399999999999999E-2"/>
    <x v="1"/>
  </r>
  <r>
    <x v="0"/>
    <x v="24"/>
    <n v="2.8E-3"/>
    <n v="3.3479999999999999"/>
    <n v="2.948"/>
    <x v="6"/>
    <n v="5.5999999999999999E-3"/>
    <x v="0"/>
  </r>
  <r>
    <x v="0"/>
    <x v="24"/>
    <n v="2.8E-3"/>
    <n v="3.3479999999999999"/>
    <n v="2.948"/>
    <x v="6"/>
    <n v="5.5999999999999999E-3"/>
    <x v="0"/>
  </r>
  <r>
    <x v="0"/>
    <x v="4"/>
    <n v="6.8799999999999998E-3"/>
    <n v="3.75"/>
    <n v="3.35"/>
    <x v="1"/>
    <n v="2.0639999999999999E-2"/>
    <x v="0"/>
  </r>
  <r>
    <x v="0"/>
    <x v="4"/>
    <n v="6.8799999999999998E-3"/>
    <n v="6.9950000000000001"/>
    <n v="6.5949999999999998"/>
    <x v="5"/>
    <n v="4.1279999999999997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6.9950000000000001"/>
    <n v="6.5949999999999998"/>
    <x v="5"/>
    <n v="2.165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6.9950000000000001"/>
    <n v="6.5949999999999998"/>
    <x v="5"/>
    <n v="2.1659999999999999E-2"/>
    <x v="0"/>
  </r>
  <r>
    <x v="6"/>
    <x v="103"/>
    <n v="2.1199999999999999E-3"/>
    <n v="9.895486"/>
    <n v="9.4954859999999996"/>
    <x v="9"/>
    <n v="1.908E-2"/>
    <x v="0"/>
  </r>
  <r>
    <x v="6"/>
    <x v="103"/>
    <n v="2.1199999999999999E-3"/>
    <n v="8.9880139999999997"/>
    <n v="8.5880139999999994"/>
    <x v="11"/>
    <n v="1.6959999999999999E-2"/>
    <x v="0"/>
  </r>
  <r>
    <x v="6"/>
    <x v="103"/>
    <n v="2.1199999999999999E-3"/>
    <n v="8.9880139999999997"/>
    <n v="8.5880139999999994"/>
    <x v="11"/>
    <n v="1.6959999999999999E-2"/>
    <x v="0"/>
  </r>
  <r>
    <x v="6"/>
    <x v="103"/>
    <n v="2.1199999999999999E-3"/>
    <n v="7.9405989999999997"/>
    <n v="7.5405989999999994"/>
    <x v="0"/>
    <n v="1.4839999999999999E-2"/>
    <x v="0"/>
  </r>
  <r>
    <x v="6"/>
    <x v="103"/>
    <n v="2.1199999999999999E-3"/>
    <n v="7.9405989999999997"/>
    <n v="7.5405989999999994"/>
    <x v="0"/>
    <n v="1.4839999999999999E-2"/>
    <x v="0"/>
  </r>
  <r>
    <x v="6"/>
    <x v="103"/>
    <n v="2.1199999999999999E-3"/>
    <n v="6.7761990000000001"/>
    <n v="6.3761989999999997"/>
    <x v="5"/>
    <n v="1.2719999999999999E-2"/>
    <x v="0"/>
  </r>
  <r>
    <x v="6"/>
    <x v="103"/>
    <n v="2.1199999999999999E-3"/>
    <n v="6.7761990000000001"/>
    <n v="6.3761989999999997"/>
    <x v="5"/>
    <n v="1.2719999999999999E-2"/>
    <x v="0"/>
  </r>
  <r>
    <x v="4"/>
    <x v="105"/>
    <n v="5.7999999999999996E-3"/>
    <n v="7.23"/>
    <n v="6.83"/>
    <x v="5"/>
    <n v="3.4799999999999998E-2"/>
    <x v="1"/>
  </r>
  <r>
    <x v="4"/>
    <x v="105"/>
    <n v="5.7999999999999996E-3"/>
    <n v="7.23"/>
    <n v="6.83"/>
    <x v="5"/>
    <n v="3.4799999999999998E-2"/>
    <x v="1"/>
  </r>
  <r>
    <x v="0"/>
    <x v="4"/>
    <n v="6.8799999999999998E-3"/>
    <n v="1.859"/>
    <n v="1.4590000000000001"/>
    <x v="2"/>
    <n v="6.8799999999999998E-3"/>
    <x v="0"/>
  </r>
  <r>
    <x v="0"/>
    <x v="46"/>
    <n v="3.6099999999999999E-3"/>
    <n v="1.859"/>
    <n v="1.4590000000000001"/>
    <x v="2"/>
    <n v="3.6099999999999999E-3"/>
    <x v="0"/>
  </r>
  <r>
    <x v="0"/>
    <x v="46"/>
    <n v="3.6099999999999999E-3"/>
    <n v="1.859"/>
    <n v="1.4590000000000001"/>
    <x v="2"/>
    <n v="3.6099999999999999E-3"/>
    <x v="0"/>
  </r>
  <r>
    <x v="0"/>
    <x v="46"/>
    <n v="3.6099999999999999E-3"/>
    <n v="1.891"/>
    <n v="1.4910000000000001"/>
    <x v="2"/>
    <n v="3.6099999999999999E-3"/>
    <x v="0"/>
  </r>
  <r>
    <x v="0"/>
    <x v="46"/>
    <n v="3.6099999999999999E-3"/>
    <n v="1.891"/>
    <n v="1.4910000000000001"/>
    <x v="2"/>
    <n v="3.6099999999999999E-3"/>
    <x v="0"/>
  </r>
  <r>
    <x v="0"/>
    <x v="4"/>
    <n v="6.8799999999999998E-3"/>
    <n v="1.891"/>
    <n v="1.4910000000000001"/>
    <x v="2"/>
    <n v="6.8799999999999998E-3"/>
    <x v="0"/>
  </r>
  <r>
    <x v="0"/>
    <x v="4"/>
    <n v="6.8799999999999998E-3"/>
    <n v="3.75"/>
    <n v="3.35"/>
    <x v="1"/>
    <n v="2.0639999999999999E-2"/>
    <x v="0"/>
  </r>
  <r>
    <x v="3"/>
    <x v="104"/>
    <n v="5.8700000000000002E-3"/>
    <n v="4.3659999999999997"/>
    <n v="3.9659999999999997"/>
    <x v="1"/>
    <n v="1.7610000000000001E-2"/>
    <x v="0"/>
  </r>
  <r>
    <x v="3"/>
    <x v="104"/>
    <n v="5.8700000000000002E-3"/>
    <n v="0.91829400000000005"/>
    <n v="0.51829400000000003"/>
    <x v="4"/>
    <n v="0"/>
    <x v="0"/>
  </r>
  <r>
    <x v="0"/>
    <x v="4"/>
    <n v="6.8799999999999998E-3"/>
    <n v="1.643"/>
    <n v="1.2429999999999999"/>
    <x v="2"/>
    <n v="6.8799999999999998E-3"/>
    <x v="0"/>
  </r>
  <r>
    <x v="0"/>
    <x v="7"/>
    <n v="1.2500000000000001E-2"/>
    <n v="5.641"/>
    <n v="5.2409999999999997"/>
    <x v="7"/>
    <n v="6.25E-2"/>
    <x v="0"/>
  </r>
  <r>
    <x v="0"/>
    <x v="46"/>
    <n v="3.6099999999999999E-3"/>
    <n v="1.643"/>
    <n v="1.2429999999999999"/>
    <x v="2"/>
    <n v="3.6099999999999999E-3"/>
    <x v="0"/>
  </r>
  <r>
    <x v="0"/>
    <x v="46"/>
    <n v="3.6099999999999999E-3"/>
    <n v="1.643"/>
    <n v="1.2429999999999999"/>
    <x v="2"/>
    <n v="3.6099999999999999E-3"/>
    <x v="0"/>
  </r>
  <r>
    <x v="0"/>
    <x v="39"/>
    <n v="3.2000000000000002E-3"/>
    <n v="4.3659999999999997"/>
    <n v="3.9659999999999997"/>
    <x v="1"/>
    <n v="9.6000000000000009E-3"/>
    <x v="0"/>
  </r>
  <r>
    <x v="0"/>
    <x v="39"/>
    <n v="3.2000000000000002E-3"/>
    <n v="4.3659999999999997"/>
    <n v="3.9659999999999997"/>
    <x v="1"/>
    <n v="9.6000000000000009E-3"/>
    <x v="0"/>
  </r>
  <r>
    <x v="0"/>
    <x v="39"/>
    <n v="3.2000000000000002E-3"/>
    <n v="3.7749999999999999"/>
    <n v="3.375"/>
    <x v="1"/>
    <n v="9.6000000000000009E-3"/>
    <x v="0"/>
  </r>
  <r>
    <x v="0"/>
    <x v="39"/>
    <n v="3.2000000000000002E-3"/>
    <n v="3.7749999999999999"/>
    <n v="3.375"/>
    <x v="1"/>
    <n v="9.6000000000000009E-3"/>
    <x v="0"/>
  </r>
  <r>
    <x v="3"/>
    <x v="104"/>
    <n v="5.8700000000000002E-3"/>
    <n v="1.746"/>
    <n v="1.3460000000000001"/>
    <x v="2"/>
    <n v="5.8700000000000002E-3"/>
    <x v="0"/>
  </r>
  <r>
    <x v="3"/>
    <x v="104"/>
    <n v="5.8700000000000002E-3"/>
    <n v="4.8490000000000002"/>
    <n v="4.4489999999999998"/>
    <x v="3"/>
    <n v="2.3480000000000001E-2"/>
    <x v="0"/>
  </r>
  <r>
    <x v="0"/>
    <x v="39"/>
    <n v="3.2000000000000002E-3"/>
    <n v="4.8490000000000002"/>
    <n v="4.4489999999999998"/>
    <x v="3"/>
    <n v="1.2800000000000001E-2"/>
    <x v="0"/>
  </r>
  <r>
    <x v="0"/>
    <x v="39"/>
    <n v="3.2000000000000002E-3"/>
    <n v="4.8490000000000002"/>
    <n v="4.4489999999999998"/>
    <x v="3"/>
    <n v="1.2800000000000001E-2"/>
    <x v="0"/>
  </r>
  <r>
    <x v="0"/>
    <x v="39"/>
    <n v="3.2000000000000002E-3"/>
    <n v="1.0669999999999999"/>
    <n v="0.66699999999999993"/>
    <x v="4"/>
    <n v="0"/>
    <x v="0"/>
  </r>
  <r>
    <x v="0"/>
    <x v="39"/>
    <n v="3.2000000000000002E-3"/>
    <n v="1.0669999999999999"/>
    <n v="0.66699999999999993"/>
    <x v="4"/>
    <n v="0"/>
    <x v="0"/>
  </r>
  <r>
    <x v="0"/>
    <x v="39"/>
    <n v="3.2000000000000002E-3"/>
    <n v="4.6550000000000002"/>
    <n v="4.2549999999999999"/>
    <x v="3"/>
    <n v="1.2800000000000001E-2"/>
    <x v="0"/>
  </r>
  <r>
    <x v="3"/>
    <x v="104"/>
    <n v="5.8700000000000002E-3"/>
    <n v="4.6550000000000002"/>
    <n v="4.2549999999999999"/>
    <x v="3"/>
    <n v="2.3480000000000001E-2"/>
    <x v="0"/>
  </r>
  <r>
    <x v="0"/>
    <x v="24"/>
    <n v="2.8E-3"/>
    <n v="3.3479999999999999"/>
    <n v="2.948"/>
    <x v="6"/>
    <n v="5.5999999999999999E-3"/>
    <x v="0"/>
  </r>
  <r>
    <x v="0"/>
    <x v="39"/>
    <n v="3.2000000000000002E-3"/>
    <n v="1.0669999999999999"/>
    <n v="0.66699999999999993"/>
    <x v="4"/>
    <n v="0"/>
    <x v="0"/>
  </r>
  <r>
    <x v="0"/>
    <x v="39"/>
    <n v="3.2000000000000002E-3"/>
    <n v="3.2770000000000001"/>
    <n v="2.8770000000000002"/>
    <x v="6"/>
    <n v="6.4000000000000003E-3"/>
    <x v="0"/>
  </r>
  <r>
    <x v="0"/>
    <x v="39"/>
    <n v="3.2000000000000002E-3"/>
    <n v="4.3659999999999997"/>
    <n v="3.9659999999999997"/>
    <x v="1"/>
    <n v="9.6000000000000009E-3"/>
    <x v="0"/>
  </r>
  <r>
    <x v="0"/>
    <x v="39"/>
    <n v="3.2000000000000002E-3"/>
    <n v="4.3659999999999997"/>
    <n v="3.9659999999999997"/>
    <x v="1"/>
    <n v="9.6000000000000009E-3"/>
    <x v="0"/>
  </r>
  <r>
    <x v="0"/>
    <x v="39"/>
    <n v="3.2000000000000002E-3"/>
    <n v="3.7749999999999999"/>
    <n v="3.375"/>
    <x v="1"/>
    <n v="9.6000000000000009E-3"/>
    <x v="0"/>
  </r>
  <r>
    <x v="0"/>
    <x v="39"/>
    <n v="3.2000000000000002E-3"/>
    <n v="1.8839999999999999"/>
    <n v="1.484"/>
    <x v="2"/>
    <n v="3.2000000000000002E-3"/>
    <x v="0"/>
  </r>
  <r>
    <x v="0"/>
    <x v="39"/>
    <n v="3.2000000000000002E-3"/>
    <n v="1.891"/>
    <n v="1.4910000000000001"/>
    <x v="2"/>
    <n v="3.2000000000000002E-3"/>
    <x v="0"/>
  </r>
  <r>
    <x v="6"/>
    <x v="103"/>
    <n v="2.1199999999999999E-3"/>
    <n v="9.895486"/>
    <n v="9.4954859999999996"/>
    <x v="9"/>
    <n v="1.908E-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6"/>
    <n v="1.7399999999999999E-2"/>
    <n v="7.74"/>
    <n v="7.34"/>
    <x v="0"/>
    <n v="0.12179999999999999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6"/>
    <n v="1.7399999999999999E-2"/>
    <n v="7.74"/>
    <n v="7.34"/>
    <x v="0"/>
    <n v="0.12179999999999999"/>
    <x v="0"/>
  </r>
  <r>
    <x v="3"/>
    <x v="76"/>
    <n v="1.3599999999999999E-2"/>
    <n v="13.37"/>
    <n v="12.969999999999999"/>
    <x v="13"/>
    <n v="0.16319999999999998"/>
    <x v="0"/>
  </r>
  <r>
    <x v="3"/>
    <x v="76"/>
    <n v="1.3599999999999999E-2"/>
    <n v="13.37"/>
    <n v="12.969999999999999"/>
    <x v="13"/>
    <n v="0.16319999999999998"/>
    <x v="0"/>
  </r>
  <r>
    <x v="3"/>
    <x v="83"/>
    <n v="1.4999999999999999E-2"/>
    <n v="9.14"/>
    <n v="8.74"/>
    <x v="11"/>
    <n v="0.12"/>
    <x v="0"/>
  </r>
  <r>
    <x v="3"/>
    <x v="69"/>
    <n v="2.52E-2"/>
    <n v="9.14"/>
    <n v="8.74"/>
    <x v="11"/>
    <n v="0.2016"/>
    <x v="0"/>
  </r>
  <r>
    <x v="3"/>
    <x v="69"/>
    <n v="2.52E-2"/>
    <n v="9.14"/>
    <n v="8.74"/>
    <x v="11"/>
    <n v="0.2016"/>
    <x v="0"/>
  </r>
  <r>
    <x v="3"/>
    <x v="83"/>
    <n v="1.4999999999999999E-2"/>
    <n v="9.14"/>
    <n v="8.74"/>
    <x v="11"/>
    <n v="0.12"/>
    <x v="0"/>
  </r>
  <r>
    <x v="3"/>
    <x v="76"/>
    <n v="1.3599999999999999E-2"/>
    <n v="9.14"/>
    <n v="8.74"/>
    <x v="11"/>
    <n v="0.10879999999999999"/>
    <x v="0"/>
  </r>
  <r>
    <x v="3"/>
    <x v="76"/>
    <n v="1.3599999999999999E-2"/>
    <n v="9.14"/>
    <n v="8.74"/>
    <x v="11"/>
    <n v="0.10879999999999999"/>
    <x v="0"/>
  </r>
  <r>
    <x v="3"/>
    <x v="76"/>
    <n v="1.3599999999999999E-2"/>
    <n v="9.14"/>
    <n v="8.74"/>
    <x v="11"/>
    <n v="0.10879999999999999"/>
    <x v="0"/>
  </r>
  <r>
    <x v="3"/>
    <x v="91"/>
    <n v="1.1299999999999999E-2"/>
    <n v="13.37"/>
    <n v="12.969999999999999"/>
    <x v="13"/>
    <n v="0.1356"/>
    <x v="0"/>
  </r>
  <r>
    <x v="3"/>
    <x v="16"/>
    <n v="5.0099999999999999E-2"/>
    <n v="8.07"/>
    <n v="7.67"/>
    <x v="0"/>
    <n v="0.35070000000000001"/>
    <x v="0"/>
  </r>
  <r>
    <x v="3"/>
    <x v="76"/>
    <n v="1.3599999999999999E-2"/>
    <n v="8.07"/>
    <n v="7.67"/>
    <x v="0"/>
    <n v="9.5199999999999993E-2"/>
    <x v="0"/>
  </r>
  <r>
    <x v="3"/>
    <x v="91"/>
    <n v="1.1299999999999999E-2"/>
    <n v="9.27"/>
    <n v="8.8699999999999992"/>
    <x v="11"/>
    <n v="9.0399999999999994E-2"/>
    <x v="0"/>
  </r>
  <r>
    <x v="3"/>
    <x v="76"/>
    <n v="1.3599999999999999E-2"/>
    <n v="13.37"/>
    <n v="12.969999999999999"/>
    <x v="13"/>
    <n v="0.16319999999999998"/>
    <x v="0"/>
  </r>
  <r>
    <x v="3"/>
    <x v="106"/>
    <n v="7.0199999999999999E-2"/>
    <n v="7.03"/>
    <n v="6.63"/>
    <x v="5"/>
    <n v="0.42120000000000002"/>
    <x v="0"/>
  </r>
  <r>
    <x v="3"/>
    <x v="16"/>
    <n v="5.0099999999999999E-2"/>
    <n v="8.2300369999999994"/>
    <n v="7.830036999999999"/>
    <x v="0"/>
    <n v="0.35070000000000001"/>
    <x v="0"/>
  </r>
  <r>
    <x v="3"/>
    <x v="106"/>
    <n v="7.0199999999999999E-2"/>
    <n v="8.2300360000000001"/>
    <n v="7.8300359999999998"/>
    <x v="0"/>
    <n v="0.4914"/>
    <x v="0"/>
  </r>
  <r>
    <x v="3"/>
    <x v="106"/>
    <n v="7.0199999999999999E-2"/>
    <n v="7.03"/>
    <n v="6.63"/>
    <x v="5"/>
    <n v="0.42120000000000002"/>
    <x v="0"/>
  </r>
  <r>
    <x v="3"/>
    <x v="107"/>
    <n v="9.0399999999999994E-3"/>
    <n v="7.720129"/>
    <n v="7.3201289999999997"/>
    <x v="0"/>
    <n v="6.3280000000000003E-2"/>
    <x v="0"/>
  </r>
  <r>
    <x v="3"/>
    <x v="83"/>
    <n v="1.4999999999999999E-2"/>
    <n v="9.5"/>
    <n v="9.1"/>
    <x v="9"/>
    <n v="0.13500000000000001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69"/>
    <n v="2.52E-2"/>
    <n v="9.5"/>
    <n v="9.1"/>
    <x v="9"/>
    <n v="0.2268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69"/>
    <n v="2.52E-2"/>
    <n v="9.5"/>
    <n v="9.1"/>
    <x v="9"/>
    <n v="0.2268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3"/>
    <n v="1.4999999999999999E-2"/>
    <n v="9.5"/>
    <n v="9.1"/>
    <x v="9"/>
    <n v="0.13500000000000001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91"/>
    <n v="1.1299999999999999E-2"/>
    <n v="5.3"/>
    <n v="4.8999999999999995"/>
    <x v="3"/>
    <n v="4.5199999999999997E-2"/>
    <x v="0"/>
  </r>
  <r>
    <x v="3"/>
    <x v="91"/>
    <n v="1.1299999999999999E-2"/>
    <n v="9.5"/>
    <n v="9.1"/>
    <x v="9"/>
    <n v="0.1017"/>
    <x v="0"/>
  </r>
  <r>
    <x v="3"/>
    <x v="100"/>
    <n v="9.3100000000000006E-3"/>
    <n v="11.53"/>
    <n v="11.129999999999999"/>
    <x v="8"/>
    <n v="0.10241"/>
    <x v="0"/>
  </r>
  <r>
    <x v="3"/>
    <x v="91"/>
    <n v="1.1299999999999999E-2"/>
    <n v="9.5"/>
    <n v="9.1"/>
    <x v="9"/>
    <n v="0.1017"/>
    <x v="0"/>
  </r>
  <r>
    <x v="3"/>
    <x v="100"/>
    <n v="9.3100000000000006E-3"/>
    <n v="11.53"/>
    <n v="11.129999999999999"/>
    <x v="8"/>
    <n v="0.10241"/>
    <x v="0"/>
  </r>
  <r>
    <x v="3"/>
    <x v="91"/>
    <n v="1.1299999999999999E-2"/>
    <n v="9.5"/>
    <n v="9.1"/>
    <x v="9"/>
    <n v="0.1017"/>
    <x v="0"/>
  </r>
  <r>
    <x v="3"/>
    <x v="100"/>
    <n v="9.3100000000000006E-3"/>
    <n v="11.53"/>
    <n v="11.129999999999999"/>
    <x v="8"/>
    <n v="0.10241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3319999999999999"/>
    <n v="2.9319999999999999"/>
    <x v="6"/>
    <n v="1.8079999999999999E-2"/>
    <x v="0"/>
  </r>
  <r>
    <x v="3"/>
    <x v="107"/>
    <n v="9.0399999999999994E-3"/>
    <n v="3.3319999999999999"/>
    <n v="2.9319999999999999"/>
    <x v="6"/>
    <n v="1.8079999999999999E-2"/>
    <x v="0"/>
  </r>
  <r>
    <x v="3"/>
    <x v="107"/>
    <n v="9.0399999999999994E-3"/>
    <n v="3.3319999999999999"/>
    <n v="2.9319999999999999"/>
    <x v="6"/>
    <n v="1.8079999999999999E-2"/>
    <x v="0"/>
  </r>
  <r>
    <x v="3"/>
    <x v="107"/>
    <n v="9.0399999999999994E-3"/>
    <n v="3.3319999999999999"/>
    <n v="2.9319999999999999"/>
    <x v="6"/>
    <n v="1.8079999999999999E-2"/>
    <x v="0"/>
  </r>
  <r>
    <x v="3"/>
    <x v="107"/>
    <n v="9.0399999999999994E-3"/>
    <n v="3.3319999999999999"/>
    <n v="2.9319999999999999"/>
    <x v="6"/>
    <n v="1.8079999999999999E-2"/>
    <x v="0"/>
  </r>
  <r>
    <x v="3"/>
    <x v="18"/>
    <n v="3.6600000000000001E-2"/>
    <n v="8.23"/>
    <n v="7.83"/>
    <x v="0"/>
    <n v="0.25619999999999998"/>
    <x v="0"/>
  </r>
  <r>
    <x v="3"/>
    <x v="108"/>
    <n v="5.9499999999999997E-2"/>
    <n v="8.23"/>
    <n v="7.83"/>
    <x v="0"/>
    <n v="0.41649999999999998"/>
    <x v="1"/>
  </r>
  <r>
    <x v="3"/>
    <x v="69"/>
    <n v="2.52E-2"/>
    <n v="8.23"/>
    <n v="7.83"/>
    <x v="0"/>
    <n v="0.1764"/>
    <x v="0"/>
  </r>
  <r>
    <x v="3"/>
    <x v="20"/>
    <n v="3.5999999999999997E-2"/>
    <n v="8.23"/>
    <n v="7.83"/>
    <x v="0"/>
    <n v="0.252"/>
    <x v="1"/>
  </r>
  <r>
    <x v="3"/>
    <x v="16"/>
    <n v="5.0099999999999999E-2"/>
    <n v="8.23"/>
    <n v="7.83"/>
    <x v="0"/>
    <n v="0.35070000000000001"/>
    <x v="0"/>
  </r>
  <r>
    <x v="3"/>
    <x v="16"/>
    <n v="5.0099999999999999E-2"/>
    <n v="7.03"/>
    <n v="6.63"/>
    <x v="5"/>
    <n v="0.30059999999999998"/>
    <x v="0"/>
  </r>
  <r>
    <x v="3"/>
    <x v="16"/>
    <n v="5.0099999999999999E-2"/>
    <n v="7.03"/>
    <n v="6.63"/>
    <x v="5"/>
    <n v="0.30059999999999998"/>
    <x v="0"/>
  </r>
  <r>
    <x v="3"/>
    <x v="16"/>
    <n v="5.0099999999999999E-2"/>
    <n v="8.23"/>
    <n v="7.83"/>
    <x v="0"/>
    <n v="0.35070000000000001"/>
    <x v="0"/>
  </r>
  <r>
    <x v="3"/>
    <x v="108"/>
    <n v="5.9499999999999997E-2"/>
    <n v="8.23"/>
    <n v="7.83"/>
    <x v="0"/>
    <n v="0.41649999999999998"/>
    <x v="1"/>
  </r>
  <r>
    <x v="3"/>
    <x v="108"/>
    <n v="5.9499999999999997E-2"/>
    <n v="8.23"/>
    <n v="7.83"/>
    <x v="0"/>
    <n v="0.41649999999999998"/>
    <x v="1"/>
  </r>
  <r>
    <x v="3"/>
    <x v="16"/>
    <n v="5.0099999999999999E-2"/>
    <n v="8.23"/>
    <n v="7.83"/>
    <x v="0"/>
    <n v="0.35070000000000001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65"/>
    <n v="5.8700000000000002E-3"/>
    <n v="2.3250000000000002"/>
    <n v="1.9250000000000003"/>
    <x v="2"/>
    <n v="5.8700000000000002E-3"/>
    <x v="0"/>
  </r>
  <r>
    <x v="3"/>
    <x v="109"/>
    <n v="2.9199999999999999E-3"/>
    <n v="2.3250000000000002"/>
    <n v="1.9250000000000003"/>
    <x v="2"/>
    <n v="2.9199999999999999E-3"/>
    <x v="0"/>
  </r>
  <r>
    <x v="3"/>
    <x v="109"/>
    <n v="2.9199999999999999E-3"/>
    <n v="2.3250000000000002"/>
    <n v="1.9250000000000003"/>
    <x v="2"/>
    <n v="2.9199999999999999E-3"/>
    <x v="0"/>
  </r>
  <r>
    <x v="3"/>
    <x v="65"/>
    <n v="5.8700000000000002E-3"/>
    <n v="2.3250000000000002"/>
    <n v="1.9250000000000003"/>
    <x v="2"/>
    <n v="5.8700000000000002E-3"/>
    <x v="0"/>
  </r>
  <r>
    <x v="3"/>
    <x v="65"/>
    <n v="5.8700000000000002E-3"/>
    <n v="2.3250000000000002"/>
    <n v="1.9250000000000003"/>
    <x v="2"/>
    <n v="5.8700000000000002E-3"/>
    <x v="0"/>
  </r>
  <r>
    <x v="3"/>
    <x v="65"/>
    <n v="5.8700000000000002E-3"/>
    <n v="2.3250000000000002"/>
    <n v="1.9250000000000003"/>
    <x v="2"/>
    <n v="5.8700000000000002E-3"/>
    <x v="0"/>
  </r>
  <r>
    <x v="3"/>
    <x v="109"/>
    <n v="2.9199999999999999E-3"/>
    <n v="2.3250000000000002"/>
    <n v="1.9250000000000003"/>
    <x v="2"/>
    <n v="2.9199999999999999E-3"/>
    <x v="0"/>
  </r>
  <r>
    <x v="3"/>
    <x v="109"/>
    <n v="2.9199999999999999E-3"/>
    <n v="2.3250000000000002"/>
    <n v="1.9250000000000003"/>
    <x v="2"/>
    <n v="2.9199999999999999E-3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2.3250000000000002"/>
    <n v="1.9250000000000003"/>
    <x v="2"/>
    <n v="5.8700000000000002E-3"/>
    <x v="0"/>
  </r>
  <r>
    <x v="3"/>
    <x v="65"/>
    <n v="5.8700000000000002E-3"/>
    <n v="2.3250000000000002"/>
    <n v="1.9250000000000003"/>
    <x v="2"/>
    <n v="5.8700000000000002E-3"/>
    <x v="0"/>
  </r>
  <r>
    <x v="3"/>
    <x v="110"/>
    <n v="4.7099999999999998E-3"/>
    <n v="4.07"/>
    <n v="3.6700000000000004"/>
    <x v="1"/>
    <n v="1.413E-2"/>
    <x v="1"/>
  </r>
  <r>
    <x v="3"/>
    <x v="110"/>
    <n v="4.7099999999999998E-3"/>
    <n v="4.07"/>
    <n v="3.6700000000000004"/>
    <x v="1"/>
    <n v="1.413E-2"/>
    <x v="1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3.1393149999999999"/>
    <n v="2.7393149999999999"/>
    <x v="6"/>
    <n v="1.8079999999999999E-2"/>
    <x v="0"/>
  </r>
  <r>
    <x v="3"/>
    <x v="107"/>
    <n v="9.0399999999999994E-3"/>
    <n v="5.0999999999999996"/>
    <n v="4.6999999999999993"/>
    <x v="3"/>
    <n v="3.6159999999999998E-2"/>
    <x v="0"/>
  </r>
  <r>
    <x v="3"/>
    <x v="109"/>
    <n v="2.9199999999999999E-3"/>
    <n v="2.0249999999999999"/>
    <n v="1.625"/>
    <x v="2"/>
    <n v="2.9199999999999999E-3"/>
    <x v="0"/>
  </r>
  <r>
    <x v="3"/>
    <x v="109"/>
    <n v="2.9199999999999999E-3"/>
    <n v="2.0249999999999999"/>
    <n v="1.625"/>
    <x v="2"/>
    <n v="2.9199999999999999E-3"/>
    <x v="0"/>
  </r>
  <r>
    <x v="3"/>
    <x v="109"/>
    <n v="2.9199999999999999E-3"/>
    <n v="0.52500000000000002"/>
    <n v="0.125"/>
    <x v="4"/>
    <n v="0"/>
    <x v="0"/>
  </r>
  <r>
    <x v="3"/>
    <x v="109"/>
    <n v="2.9199999999999999E-3"/>
    <n v="0.52500000000000002"/>
    <n v="0.125"/>
    <x v="4"/>
    <n v="0"/>
    <x v="0"/>
  </r>
  <r>
    <x v="3"/>
    <x v="109"/>
    <n v="2.9199999999999999E-3"/>
    <n v="0.52500000000000002"/>
    <n v="0.125"/>
    <x v="4"/>
    <n v="0"/>
    <x v="0"/>
  </r>
  <r>
    <x v="3"/>
    <x v="109"/>
    <n v="2.9199999999999999E-3"/>
    <n v="0.52500000000000002"/>
    <n v="0.125"/>
    <x v="4"/>
    <n v="0"/>
    <x v="0"/>
  </r>
  <r>
    <x v="3"/>
    <x v="109"/>
    <n v="2.9199999999999999E-3"/>
    <n v="2.0249999999999999"/>
    <n v="1.625"/>
    <x v="2"/>
    <n v="2.9199999999999999E-3"/>
    <x v="0"/>
  </r>
  <r>
    <x v="3"/>
    <x v="109"/>
    <n v="2.9199999999999999E-3"/>
    <n v="2.0249999999999999"/>
    <n v="1.625"/>
    <x v="2"/>
    <n v="2.9199999999999999E-3"/>
    <x v="0"/>
  </r>
  <r>
    <x v="3"/>
    <x v="107"/>
    <n v="9.0399999999999994E-3"/>
    <n v="3.625"/>
    <n v="3.2250000000000001"/>
    <x v="1"/>
    <n v="2.7119999999999998E-2"/>
    <x v="0"/>
  </r>
  <r>
    <x v="3"/>
    <x v="107"/>
    <n v="9.0399999999999994E-3"/>
    <n v="8.0678389999999993"/>
    <n v="7.667838999999999"/>
    <x v="0"/>
    <n v="6.3280000000000003E-2"/>
    <x v="0"/>
  </r>
  <r>
    <x v="3"/>
    <x v="107"/>
    <n v="9.0399999999999994E-3"/>
    <n v="8.0678389999999993"/>
    <n v="7.667838999999999"/>
    <x v="0"/>
    <n v="6.3280000000000003E-2"/>
    <x v="0"/>
  </r>
  <r>
    <x v="3"/>
    <x v="107"/>
    <n v="9.0399999999999994E-3"/>
    <n v="8.0678389999999993"/>
    <n v="7.667838999999999"/>
    <x v="0"/>
    <n v="6.3280000000000003E-2"/>
    <x v="0"/>
  </r>
  <r>
    <x v="3"/>
    <x v="107"/>
    <n v="9.0399999999999994E-3"/>
    <n v="8.0678389999999993"/>
    <n v="7.667838999999999"/>
    <x v="0"/>
    <n v="6.3280000000000003E-2"/>
    <x v="0"/>
  </r>
  <r>
    <x v="3"/>
    <x v="107"/>
    <n v="9.0399999999999994E-3"/>
    <n v="12.068598"/>
    <n v="11.668597999999999"/>
    <x v="8"/>
    <n v="9.9440000000000001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12.068598"/>
    <n v="11.668597999999999"/>
    <x v="8"/>
    <n v="9.9440000000000001E-2"/>
    <x v="0"/>
  </r>
  <r>
    <x v="3"/>
    <x v="107"/>
    <n v="9.0399999999999994E-3"/>
    <n v="12.068403"/>
    <n v="11.668403"/>
    <x v="8"/>
    <n v="9.9440000000000001E-2"/>
    <x v="0"/>
  </r>
  <r>
    <x v="3"/>
    <x v="107"/>
    <n v="9.0399999999999994E-3"/>
    <n v="12.068403"/>
    <n v="11.668403"/>
    <x v="8"/>
    <n v="9.9440000000000001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12.068598"/>
    <n v="11.668597999999999"/>
    <x v="8"/>
    <n v="9.9440000000000001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12.068598"/>
    <n v="11.668597999999999"/>
    <x v="8"/>
    <n v="9.9440000000000001E-2"/>
    <x v="0"/>
  </r>
  <r>
    <x v="3"/>
    <x v="107"/>
    <n v="9.0399999999999994E-3"/>
    <n v="12.068403"/>
    <n v="11.668403"/>
    <x v="8"/>
    <n v="9.9440000000000001E-2"/>
    <x v="0"/>
  </r>
  <r>
    <x v="3"/>
    <x v="107"/>
    <n v="9.0399999999999994E-3"/>
    <n v="12.068403"/>
    <n v="11.668403"/>
    <x v="8"/>
    <n v="9.9440000000000001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9"/>
    <n v="1.6799999999999999E-2"/>
    <n v="7.9718619999999998"/>
    <n v="7.5718619999999994"/>
    <x v="0"/>
    <n v="0.1176"/>
    <x v="0"/>
  </r>
  <r>
    <x v="3"/>
    <x v="99"/>
    <n v="1.6799999999999999E-2"/>
    <n v="7.9718619999999998"/>
    <n v="7.5718619999999994"/>
    <x v="0"/>
    <n v="0.1176"/>
    <x v="0"/>
  </r>
  <r>
    <x v="3"/>
    <x v="76"/>
    <n v="1.3599999999999999E-2"/>
    <n v="7.9718619999999998"/>
    <n v="7.5718619999999994"/>
    <x v="0"/>
    <n v="9.5199999999999993E-2"/>
    <x v="0"/>
  </r>
  <r>
    <x v="3"/>
    <x v="76"/>
    <n v="1.3599999999999999E-2"/>
    <n v="7.9718619999999998"/>
    <n v="7.5718619999999994"/>
    <x v="0"/>
    <n v="9.5199999999999993E-2"/>
    <x v="0"/>
  </r>
  <r>
    <x v="3"/>
    <x v="76"/>
    <n v="1.3599999999999999E-2"/>
    <n v="7.9718619999999998"/>
    <n v="7.5718619999999994"/>
    <x v="0"/>
    <n v="9.5199999999999993E-2"/>
    <x v="0"/>
  </r>
  <r>
    <x v="3"/>
    <x v="76"/>
    <n v="1.3599999999999999E-2"/>
    <n v="7.9718619999999998"/>
    <n v="7.5718619999999994"/>
    <x v="0"/>
    <n v="9.5199999999999993E-2"/>
    <x v="0"/>
  </r>
  <r>
    <x v="3"/>
    <x v="99"/>
    <n v="1.6799999999999999E-2"/>
    <n v="7.9718619999999998"/>
    <n v="7.5718619999999994"/>
    <x v="0"/>
    <n v="0.1176"/>
    <x v="0"/>
  </r>
  <r>
    <x v="3"/>
    <x v="99"/>
    <n v="1.6799999999999999E-2"/>
    <n v="7.9718619999999998"/>
    <n v="7.5718619999999994"/>
    <x v="0"/>
    <n v="0.1176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83"/>
    <n v="1.4999999999999999E-2"/>
    <n v="3.13"/>
    <n v="2.73"/>
    <x v="6"/>
    <n v="0.03"/>
    <x v="0"/>
  </r>
  <r>
    <x v="3"/>
    <x v="83"/>
    <n v="1.4999999999999999E-2"/>
    <n v="1.02"/>
    <n v="0.62"/>
    <x v="4"/>
    <n v="0"/>
    <x v="0"/>
  </r>
  <r>
    <x v="3"/>
    <x v="83"/>
    <n v="1.4999999999999999E-2"/>
    <n v="3.18"/>
    <n v="2.7800000000000002"/>
    <x v="6"/>
    <n v="0.03"/>
    <x v="0"/>
  </r>
  <r>
    <x v="3"/>
    <x v="83"/>
    <n v="1.4999999999999999E-2"/>
    <n v="7.74"/>
    <n v="7.34"/>
    <x v="0"/>
    <n v="0.105"/>
    <x v="0"/>
  </r>
  <r>
    <x v="3"/>
    <x v="86"/>
    <n v="1.7399999999999999E-2"/>
    <n v="3.13"/>
    <n v="2.73"/>
    <x v="6"/>
    <n v="3.4799999999999998E-2"/>
    <x v="0"/>
  </r>
  <r>
    <x v="3"/>
    <x v="86"/>
    <n v="1.7399999999999999E-2"/>
    <n v="1.02"/>
    <n v="0.62"/>
    <x v="4"/>
    <n v="0"/>
    <x v="0"/>
  </r>
  <r>
    <x v="3"/>
    <x v="86"/>
    <n v="1.7399999999999999E-2"/>
    <n v="3.18"/>
    <n v="2.7800000000000002"/>
    <x v="6"/>
    <n v="3.4799999999999998E-2"/>
    <x v="0"/>
  </r>
  <r>
    <x v="3"/>
    <x v="86"/>
    <n v="1.7399999999999999E-2"/>
    <n v="7.74"/>
    <n v="7.34"/>
    <x v="0"/>
    <n v="0.12179999999999999"/>
    <x v="0"/>
  </r>
  <r>
    <x v="3"/>
    <x v="86"/>
    <n v="1.7399999999999999E-2"/>
    <n v="3.13"/>
    <n v="2.73"/>
    <x v="6"/>
    <n v="3.4799999999999998E-2"/>
    <x v="0"/>
  </r>
  <r>
    <x v="3"/>
    <x v="86"/>
    <n v="1.7399999999999999E-2"/>
    <n v="1.02"/>
    <n v="0.62"/>
    <x v="4"/>
    <n v="0"/>
    <x v="0"/>
  </r>
  <r>
    <x v="3"/>
    <x v="86"/>
    <n v="1.7399999999999999E-2"/>
    <n v="3.18"/>
    <n v="2.7800000000000002"/>
    <x v="6"/>
    <n v="3.4799999999999998E-2"/>
    <x v="0"/>
  </r>
  <r>
    <x v="3"/>
    <x v="86"/>
    <n v="1.7399999999999999E-2"/>
    <n v="7.74"/>
    <n v="7.34"/>
    <x v="0"/>
    <n v="0.12179999999999999"/>
    <x v="0"/>
  </r>
  <r>
    <x v="3"/>
    <x v="83"/>
    <n v="1.4999999999999999E-2"/>
    <n v="3.13"/>
    <n v="2.73"/>
    <x v="6"/>
    <n v="0.03"/>
    <x v="0"/>
  </r>
  <r>
    <x v="3"/>
    <x v="83"/>
    <n v="1.4999999999999999E-2"/>
    <n v="1.02"/>
    <n v="0.62"/>
    <x v="4"/>
    <n v="0"/>
    <x v="0"/>
  </r>
  <r>
    <x v="3"/>
    <x v="83"/>
    <n v="1.4999999999999999E-2"/>
    <n v="3.18"/>
    <n v="2.7800000000000002"/>
    <x v="6"/>
    <n v="0.03"/>
    <x v="0"/>
  </r>
  <r>
    <x v="3"/>
    <x v="83"/>
    <n v="1.4999999999999999E-2"/>
    <n v="7.74"/>
    <n v="7.34"/>
    <x v="0"/>
    <n v="0.105"/>
    <x v="0"/>
  </r>
  <r>
    <x v="3"/>
    <x v="18"/>
    <n v="3.6600000000000001E-2"/>
    <n v="8.23"/>
    <n v="7.83"/>
    <x v="0"/>
    <n v="0.25619999999999998"/>
    <x v="0"/>
  </r>
  <r>
    <x v="3"/>
    <x v="110"/>
    <n v="4.7099999999999998E-3"/>
    <n v="5.3"/>
    <n v="4.8999999999999995"/>
    <x v="3"/>
    <n v="1.8839999999999999E-2"/>
    <x v="1"/>
  </r>
  <r>
    <x v="3"/>
    <x v="106"/>
    <n v="7.0199999999999999E-2"/>
    <n v="5.4950000000000001"/>
    <n v="5.0949999999999998"/>
    <x v="7"/>
    <n v="0.35099999999999998"/>
    <x v="0"/>
  </r>
  <r>
    <x v="3"/>
    <x v="107"/>
    <n v="9.0399999999999994E-3"/>
    <n v="3.1819999999999999"/>
    <n v="2.782"/>
    <x v="6"/>
    <n v="1.8079999999999999E-2"/>
    <x v="0"/>
  </r>
  <r>
    <x v="3"/>
    <x v="107"/>
    <n v="9.0399999999999994E-3"/>
    <n v="2.6100189999999999"/>
    <n v="2.210019"/>
    <x v="6"/>
    <n v="1.8079999999999999E-2"/>
    <x v="0"/>
  </r>
  <r>
    <x v="3"/>
    <x v="107"/>
    <n v="9.0399999999999994E-3"/>
    <n v="2.61"/>
    <n v="2.21"/>
    <x v="6"/>
    <n v="1.8079999999999999E-2"/>
    <x v="0"/>
  </r>
  <r>
    <x v="3"/>
    <x v="107"/>
    <n v="9.0399999999999994E-3"/>
    <n v="2.6100189999999999"/>
    <n v="2.210019"/>
    <x v="6"/>
    <n v="1.8079999999999999E-2"/>
    <x v="0"/>
  </r>
  <r>
    <x v="3"/>
    <x v="107"/>
    <n v="9.0399999999999994E-3"/>
    <n v="2.6100189999999999"/>
    <n v="2.210019"/>
    <x v="6"/>
    <n v="1.8079999999999999E-2"/>
    <x v="0"/>
  </r>
  <r>
    <x v="3"/>
    <x v="107"/>
    <n v="9.0399999999999994E-3"/>
    <n v="2.61"/>
    <n v="2.21"/>
    <x v="6"/>
    <n v="1.8079999999999999E-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8"/>
    <n v="3.6600000000000001E-2"/>
    <n v="6.88"/>
    <n v="6.4799999999999995"/>
    <x v="5"/>
    <n v="0.21960000000000002"/>
    <x v="0"/>
  </r>
  <r>
    <x v="3"/>
    <x v="106"/>
    <n v="7.0199999999999999E-2"/>
    <n v="6.88"/>
    <n v="6.4799999999999995"/>
    <x v="5"/>
    <n v="0.42120000000000002"/>
    <x v="0"/>
  </r>
  <r>
    <x v="3"/>
    <x v="18"/>
    <n v="3.6600000000000001E-2"/>
    <n v="6.88"/>
    <n v="6.4799999999999995"/>
    <x v="5"/>
    <n v="0.2196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7"/>
    <n v="9.0399999999999994E-3"/>
    <n v="3.1819999999999999"/>
    <n v="2.782"/>
    <x v="6"/>
    <n v="1.8079999999999999E-2"/>
    <x v="0"/>
  </r>
  <r>
    <x v="3"/>
    <x v="80"/>
    <n v="3.0599999999999999E-2"/>
    <n v="9.14"/>
    <n v="8.74"/>
    <x v="11"/>
    <n v="0.24479999999999999"/>
    <x v="0"/>
  </r>
  <r>
    <x v="3"/>
    <x v="95"/>
    <n v="4.3299999999999998E-2"/>
    <n v="9.14"/>
    <n v="8.74"/>
    <x v="11"/>
    <n v="0.34639999999999999"/>
    <x v="1"/>
  </r>
  <r>
    <x v="3"/>
    <x v="111"/>
    <n v="2.9899999999999999E-2"/>
    <n v="9.14"/>
    <n v="8.74"/>
    <x v="11"/>
    <n v="0.2392"/>
    <x v="1"/>
  </r>
  <r>
    <x v="3"/>
    <x v="95"/>
    <n v="4.3299999999999998E-2"/>
    <n v="9.14"/>
    <n v="8.74"/>
    <x v="11"/>
    <n v="0.34639999999999999"/>
    <x v="1"/>
  </r>
  <r>
    <x v="3"/>
    <x v="18"/>
    <n v="3.6600000000000001E-2"/>
    <n v="9.14"/>
    <n v="8.74"/>
    <x v="11"/>
    <n v="0.2928"/>
    <x v="0"/>
  </r>
  <r>
    <x v="3"/>
    <x v="18"/>
    <n v="3.6600000000000001E-2"/>
    <n v="9.14"/>
    <n v="8.74"/>
    <x v="11"/>
    <n v="0.2928"/>
    <x v="0"/>
  </r>
  <r>
    <x v="3"/>
    <x v="111"/>
    <n v="2.9899999999999999E-2"/>
    <n v="9.14"/>
    <n v="8.74"/>
    <x v="11"/>
    <n v="0.2392"/>
    <x v="1"/>
  </r>
  <r>
    <x v="3"/>
    <x v="69"/>
    <n v="2.52E-2"/>
    <n v="8.2200000000000006"/>
    <n v="7.82"/>
    <x v="0"/>
    <n v="0.1764"/>
    <x v="0"/>
  </r>
  <r>
    <x v="3"/>
    <x v="69"/>
    <n v="2.52E-2"/>
    <n v="8.2200000000000006"/>
    <n v="7.82"/>
    <x v="0"/>
    <n v="0.1764"/>
    <x v="0"/>
  </r>
  <r>
    <x v="3"/>
    <x v="91"/>
    <n v="1.1299999999999999E-2"/>
    <n v="10.34"/>
    <n v="9.94"/>
    <x v="9"/>
    <n v="0.1017"/>
    <x v="0"/>
  </r>
  <r>
    <x v="3"/>
    <x v="69"/>
    <n v="2.52E-2"/>
    <n v="10.34"/>
    <n v="9.94"/>
    <x v="9"/>
    <n v="0.2268"/>
    <x v="0"/>
  </r>
  <r>
    <x v="3"/>
    <x v="112"/>
    <n v="3.8300000000000001E-3"/>
    <n v="5.2"/>
    <n v="4.8"/>
    <x v="3"/>
    <n v="1.532E-2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80"/>
    <n v="3.0599999999999999E-2"/>
    <n v="9.14"/>
    <n v="8.74"/>
    <x v="11"/>
    <n v="0.24479999999999999"/>
    <x v="0"/>
  </r>
  <r>
    <x v="3"/>
    <x v="98"/>
    <n v="2.1299999999999999E-2"/>
    <n v="9.14"/>
    <n v="8.74"/>
    <x v="11"/>
    <n v="0.1704"/>
    <x v="0"/>
  </r>
  <r>
    <x v="3"/>
    <x v="80"/>
    <n v="3.0599999999999999E-2"/>
    <n v="9.14"/>
    <n v="8.74"/>
    <x v="11"/>
    <n v="0.24479999999999999"/>
    <x v="0"/>
  </r>
  <r>
    <x v="3"/>
    <x v="80"/>
    <n v="3.0599999999999999E-2"/>
    <n v="9.14"/>
    <n v="8.74"/>
    <x v="11"/>
    <n v="0.24479999999999999"/>
    <x v="0"/>
  </r>
  <r>
    <x v="3"/>
    <x v="112"/>
    <n v="3.8300000000000001E-3"/>
    <n v="5.2"/>
    <n v="4.8"/>
    <x v="3"/>
    <n v="1.532E-2"/>
    <x v="0"/>
  </r>
  <r>
    <x v="3"/>
    <x v="80"/>
    <n v="3.0599999999999999E-2"/>
    <n v="9.14"/>
    <n v="8.74"/>
    <x v="11"/>
    <n v="0.24479999999999999"/>
    <x v="0"/>
  </r>
  <r>
    <x v="3"/>
    <x v="81"/>
    <n v="2.01E-2"/>
    <n v="9.14"/>
    <n v="8.74"/>
    <x v="11"/>
    <n v="0.1608"/>
    <x v="0"/>
  </r>
  <r>
    <x v="3"/>
    <x v="20"/>
    <n v="3.5999999999999997E-2"/>
    <n v="9.14"/>
    <n v="8.74"/>
    <x v="11"/>
    <n v="0.28799999999999998"/>
    <x v="1"/>
  </r>
  <r>
    <x v="3"/>
    <x v="112"/>
    <n v="3.8300000000000001E-3"/>
    <n v="5.2"/>
    <n v="4.8"/>
    <x v="3"/>
    <n v="1.532E-2"/>
    <x v="0"/>
  </r>
  <r>
    <x v="3"/>
    <x v="20"/>
    <n v="3.5999999999999997E-2"/>
    <n v="9.14"/>
    <n v="8.74"/>
    <x v="11"/>
    <n v="0.28799999999999998"/>
    <x v="1"/>
  </r>
  <r>
    <x v="3"/>
    <x v="80"/>
    <n v="3.0599999999999999E-2"/>
    <n v="9.14"/>
    <n v="8.74"/>
    <x v="11"/>
    <n v="0.24479999999999999"/>
    <x v="0"/>
  </r>
  <r>
    <x v="3"/>
    <x v="69"/>
    <n v="2.52E-2"/>
    <n v="9.14"/>
    <n v="8.74"/>
    <x v="11"/>
    <n v="0.2016"/>
    <x v="0"/>
  </r>
  <r>
    <x v="3"/>
    <x v="80"/>
    <n v="3.0599999999999999E-2"/>
    <n v="9.14"/>
    <n v="8.74"/>
    <x v="11"/>
    <n v="0.24479999999999999"/>
    <x v="0"/>
  </r>
  <r>
    <x v="3"/>
    <x v="112"/>
    <n v="3.8300000000000001E-3"/>
    <n v="5.2"/>
    <n v="4.8"/>
    <x v="3"/>
    <n v="1.532E-2"/>
    <x v="0"/>
  </r>
  <r>
    <x v="3"/>
    <x v="112"/>
    <n v="3.8300000000000001E-3"/>
    <n v="5.2"/>
    <n v="4.8"/>
    <x v="3"/>
    <n v="1.532E-2"/>
    <x v="0"/>
  </r>
  <r>
    <x v="3"/>
    <x v="112"/>
    <n v="3.8300000000000001E-3"/>
    <n v="5.2"/>
    <n v="4.8"/>
    <x v="3"/>
    <n v="1.532E-2"/>
    <x v="0"/>
  </r>
  <r>
    <x v="3"/>
    <x v="112"/>
    <n v="3.8300000000000001E-3"/>
    <n v="5.2"/>
    <n v="4.8"/>
    <x v="3"/>
    <n v="1.532E-2"/>
    <x v="0"/>
  </r>
  <r>
    <x v="3"/>
    <x v="20"/>
    <n v="3.5999999999999997E-2"/>
    <n v="9.14"/>
    <n v="8.74"/>
    <x v="11"/>
    <n v="0.28799999999999998"/>
    <x v="1"/>
  </r>
  <r>
    <x v="3"/>
    <x v="112"/>
    <n v="3.8300000000000001E-3"/>
    <n v="5.2"/>
    <n v="4.8"/>
    <x v="3"/>
    <n v="1.532E-2"/>
    <x v="0"/>
  </r>
  <r>
    <x v="3"/>
    <x v="111"/>
    <n v="2.9899999999999999E-2"/>
    <n v="9.14"/>
    <n v="8.74"/>
    <x v="11"/>
    <n v="0.2392"/>
    <x v="1"/>
  </r>
  <r>
    <x v="3"/>
    <x v="95"/>
    <n v="4.3299999999999998E-2"/>
    <n v="9.14"/>
    <n v="8.74"/>
    <x v="11"/>
    <n v="0.34639999999999999"/>
    <x v="1"/>
  </r>
  <r>
    <x v="3"/>
    <x v="69"/>
    <n v="2.52E-2"/>
    <n v="9.14"/>
    <n v="8.74"/>
    <x v="11"/>
    <n v="0.2016"/>
    <x v="0"/>
  </r>
  <r>
    <x v="3"/>
    <x v="98"/>
    <n v="2.1299999999999999E-2"/>
    <n v="9.14"/>
    <n v="8.74"/>
    <x v="11"/>
    <n v="0.1704"/>
    <x v="0"/>
  </r>
  <r>
    <x v="3"/>
    <x v="112"/>
    <n v="3.8300000000000001E-3"/>
    <n v="5.2"/>
    <n v="4.8"/>
    <x v="3"/>
    <n v="1.532E-2"/>
    <x v="0"/>
  </r>
  <r>
    <x v="3"/>
    <x v="69"/>
    <n v="2.52E-2"/>
    <n v="9.14"/>
    <n v="8.74"/>
    <x v="11"/>
    <n v="0.2016"/>
    <x v="0"/>
  </r>
  <r>
    <x v="3"/>
    <x v="76"/>
    <n v="1.3599999999999999E-2"/>
    <n v="9.14"/>
    <n v="8.74"/>
    <x v="11"/>
    <n v="0.10879999999999999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100"/>
    <n v="9.3100000000000006E-3"/>
    <n v="9.14"/>
    <n v="8.74"/>
    <x v="11"/>
    <n v="7.4480000000000005E-2"/>
    <x v="0"/>
  </r>
  <r>
    <x v="3"/>
    <x v="112"/>
    <n v="3.8300000000000001E-3"/>
    <n v="5.2"/>
    <n v="4.8"/>
    <x v="3"/>
    <n v="1.532E-2"/>
    <x v="0"/>
  </r>
  <r>
    <x v="3"/>
    <x v="81"/>
    <n v="2.01E-2"/>
    <n v="8.61"/>
    <n v="8.2099999999999991"/>
    <x v="11"/>
    <n v="0.1608"/>
    <x v="0"/>
  </r>
  <r>
    <x v="3"/>
    <x v="20"/>
    <n v="3.5999999999999997E-2"/>
    <n v="8.2200000000000006"/>
    <n v="7.82"/>
    <x v="0"/>
    <n v="0.252"/>
    <x v="1"/>
  </r>
  <r>
    <x v="3"/>
    <x v="20"/>
    <n v="3.5999999999999997E-2"/>
    <n v="8.2200000000000006"/>
    <n v="7.82"/>
    <x v="0"/>
    <n v="0.252"/>
    <x v="1"/>
  </r>
  <r>
    <x v="3"/>
    <x v="69"/>
    <n v="2.52E-2"/>
    <n v="8.2200000000000006"/>
    <n v="7.82"/>
    <x v="0"/>
    <n v="0.1764"/>
    <x v="0"/>
  </r>
  <r>
    <x v="3"/>
    <x v="81"/>
    <n v="2.01E-2"/>
    <n v="8.2200000000000006"/>
    <n v="7.82"/>
    <x v="0"/>
    <n v="0.14069999999999999"/>
    <x v="0"/>
  </r>
  <r>
    <x v="3"/>
    <x v="98"/>
    <n v="2.1299999999999999E-2"/>
    <n v="8.8699999999999992"/>
    <n v="8.4699999999999989"/>
    <x v="11"/>
    <n v="0.1704"/>
    <x v="0"/>
  </r>
  <r>
    <x v="3"/>
    <x v="81"/>
    <n v="2.01E-2"/>
    <n v="8.4"/>
    <n v="8"/>
    <x v="11"/>
    <n v="0.1608"/>
    <x v="0"/>
  </r>
  <r>
    <x v="3"/>
    <x v="80"/>
    <n v="3.0599999999999999E-2"/>
    <n v="9.5"/>
    <n v="9.1"/>
    <x v="9"/>
    <n v="0.27539999999999998"/>
    <x v="0"/>
  </r>
  <r>
    <x v="3"/>
    <x v="18"/>
    <n v="3.6600000000000001E-2"/>
    <n v="9.5"/>
    <n v="9.1"/>
    <x v="9"/>
    <n v="0.32940000000000003"/>
    <x v="0"/>
  </r>
  <r>
    <x v="3"/>
    <x v="111"/>
    <n v="2.9899999999999999E-2"/>
    <n v="9.5"/>
    <n v="9.1"/>
    <x v="9"/>
    <n v="0.26910000000000001"/>
    <x v="1"/>
  </r>
  <r>
    <x v="3"/>
    <x v="18"/>
    <n v="3.6600000000000001E-2"/>
    <n v="9.5"/>
    <n v="9.1"/>
    <x v="9"/>
    <n v="0.32940000000000003"/>
    <x v="0"/>
  </r>
  <r>
    <x v="3"/>
    <x v="18"/>
    <n v="3.6600000000000001E-2"/>
    <n v="9.5"/>
    <n v="9.1"/>
    <x v="9"/>
    <n v="0.32940000000000003"/>
    <x v="0"/>
  </r>
  <r>
    <x v="3"/>
    <x v="111"/>
    <n v="2.9899999999999999E-2"/>
    <n v="9.5"/>
    <n v="9.1"/>
    <x v="9"/>
    <n v="0.26910000000000001"/>
    <x v="1"/>
  </r>
  <r>
    <x v="3"/>
    <x v="69"/>
    <n v="2.52E-2"/>
    <n v="9.5"/>
    <n v="9.1"/>
    <x v="9"/>
    <n v="0.2268"/>
    <x v="0"/>
  </r>
  <r>
    <x v="3"/>
    <x v="97"/>
    <n v="1.0999999999999999E-2"/>
    <n v="3.8200099999999999"/>
    <n v="3.42001"/>
    <x v="1"/>
    <n v="3.3000000000000002E-2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840574999999999"/>
    <n v="11.440574999999999"/>
    <x v="8"/>
    <n v="0.121"/>
    <x v="0"/>
  </r>
  <r>
    <x v="3"/>
    <x v="97"/>
    <n v="1.0999999999999999E-2"/>
    <n v="11.840574999999999"/>
    <n v="11.440574999999999"/>
    <x v="8"/>
    <n v="0.121"/>
    <x v="0"/>
  </r>
  <r>
    <x v="3"/>
    <x v="113"/>
    <n v="7.6400000000000001E-3"/>
    <n v="7.5173620000000003"/>
    <n v="7.117362"/>
    <x v="0"/>
    <n v="5.348E-2"/>
    <x v="1"/>
  </r>
  <r>
    <x v="3"/>
    <x v="113"/>
    <n v="7.6400000000000001E-3"/>
    <n v="7.5164710000000001"/>
    <n v="7.1164709999999998"/>
    <x v="0"/>
    <n v="5.348E-2"/>
    <x v="1"/>
  </r>
  <r>
    <x v="3"/>
    <x v="110"/>
    <n v="4.7099999999999998E-3"/>
    <n v="4.01"/>
    <n v="3.61"/>
    <x v="1"/>
    <n v="1.413E-2"/>
    <x v="1"/>
  </r>
  <r>
    <x v="3"/>
    <x v="110"/>
    <n v="4.7099999999999998E-3"/>
    <n v="1.9850000000000001"/>
    <n v="1.585"/>
    <x v="2"/>
    <n v="4.7099999999999998E-3"/>
    <x v="1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5.5199530000000001"/>
    <n v="5.1199529999999998"/>
    <x v="7"/>
    <n v="6.7999999999999991E-2"/>
    <x v="0"/>
  </r>
  <r>
    <x v="3"/>
    <x v="76"/>
    <n v="1.3599999999999999E-2"/>
    <n v="5.5199530000000001"/>
    <n v="5.1199529999999998"/>
    <x v="7"/>
    <n v="6.7999999999999991E-2"/>
    <x v="0"/>
  </r>
  <r>
    <x v="3"/>
    <x v="76"/>
    <n v="1.3599999999999999E-2"/>
    <n v="5.5199530000000001"/>
    <n v="5.1199529999999998"/>
    <x v="7"/>
    <n v="6.7999999999999991E-2"/>
    <x v="0"/>
  </r>
  <r>
    <x v="3"/>
    <x v="76"/>
    <n v="1.3599999999999999E-2"/>
    <n v="5.5199530000000001"/>
    <n v="5.1199529999999998"/>
    <x v="7"/>
    <n v="6.7999999999999991E-2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104"/>
    <n v="5.8700000000000002E-3"/>
    <n v="5.22"/>
    <n v="4.8199999999999994"/>
    <x v="3"/>
    <n v="2.3480000000000001E-2"/>
    <x v="0"/>
  </r>
  <r>
    <x v="3"/>
    <x v="104"/>
    <n v="5.8700000000000002E-3"/>
    <n v="5.22"/>
    <n v="4.8199999999999994"/>
    <x v="3"/>
    <n v="2.3480000000000001E-2"/>
    <x v="0"/>
  </r>
  <r>
    <x v="3"/>
    <x v="97"/>
    <n v="1.0999999999999999E-2"/>
    <n v="8.4"/>
    <n v="8"/>
    <x v="11"/>
    <n v="8.7999999999999995E-2"/>
    <x v="0"/>
  </r>
  <r>
    <x v="3"/>
    <x v="97"/>
    <n v="1.0999999999999999E-2"/>
    <n v="8.4"/>
    <n v="8"/>
    <x v="11"/>
    <n v="8.7999999999999995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65"/>
    <n v="5.8700000000000002E-3"/>
    <n v="4.2"/>
    <n v="3.8000000000000003"/>
    <x v="1"/>
    <n v="1.7610000000000001E-2"/>
    <x v="0"/>
  </r>
  <r>
    <x v="3"/>
    <x v="65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97"/>
    <n v="1.0999999999999999E-2"/>
    <n v="4.2"/>
    <n v="3.8000000000000003"/>
    <x v="1"/>
    <n v="3.3000000000000002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97"/>
    <n v="1.0999999999999999E-2"/>
    <n v="9.5"/>
    <n v="9.1"/>
    <x v="9"/>
    <n v="9.8999999999999991E-2"/>
    <x v="0"/>
  </r>
  <r>
    <x v="3"/>
    <x v="76"/>
    <n v="1.3599999999999999E-2"/>
    <n v="10.57"/>
    <n v="10.17"/>
    <x v="10"/>
    <n v="0.13599999999999998"/>
    <x v="0"/>
  </r>
  <r>
    <x v="3"/>
    <x v="97"/>
    <n v="1.0999999999999999E-2"/>
    <n v="7.33"/>
    <n v="6.93"/>
    <x v="5"/>
    <n v="6.6000000000000003E-2"/>
    <x v="0"/>
  </r>
  <r>
    <x v="3"/>
    <x v="76"/>
    <n v="1.3599999999999999E-2"/>
    <n v="10.57"/>
    <n v="10.17"/>
    <x v="10"/>
    <n v="0.13599999999999998"/>
    <x v="0"/>
  </r>
  <r>
    <x v="3"/>
    <x v="107"/>
    <n v="9.0399999999999994E-3"/>
    <n v="7.33"/>
    <n v="6.93"/>
    <x v="5"/>
    <n v="5.4239999999999997E-2"/>
    <x v="0"/>
  </r>
  <r>
    <x v="3"/>
    <x v="76"/>
    <n v="1.3599999999999999E-2"/>
    <n v="13.7"/>
    <n v="13.299999999999999"/>
    <x v="14"/>
    <n v="0.17679999999999998"/>
    <x v="0"/>
  </r>
  <r>
    <x v="3"/>
    <x v="76"/>
    <n v="1.3599999999999999E-2"/>
    <n v="13.7"/>
    <n v="13.299999999999999"/>
    <x v="14"/>
    <n v="0.17679999999999998"/>
    <x v="0"/>
  </r>
  <r>
    <x v="3"/>
    <x v="76"/>
    <n v="1.3599999999999999E-2"/>
    <n v="13.7"/>
    <n v="13.299999999999999"/>
    <x v="14"/>
    <n v="0.17679999999999998"/>
    <x v="0"/>
  </r>
  <r>
    <x v="3"/>
    <x v="97"/>
    <n v="1.0999999999999999E-2"/>
    <n v="9.5"/>
    <n v="9.1"/>
    <x v="9"/>
    <n v="9.8999999999999991E-2"/>
    <x v="0"/>
  </r>
  <r>
    <x v="3"/>
    <x v="76"/>
    <n v="1.3599999999999999E-2"/>
    <n v="7.33"/>
    <n v="6.93"/>
    <x v="5"/>
    <n v="8.1599999999999992E-2"/>
    <x v="0"/>
  </r>
  <r>
    <x v="3"/>
    <x v="76"/>
    <n v="1.3599999999999999E-2"/>
    <n v="9.5"/>
    <n v="9.1"/>
    <x v="9"/>
    <n v="0.12239999999999999"/>
    <x v="0"/>
  </r>
  <r>
    <x v="3"/>
    <x v="76"/>
    <n v="1.3599999999999999E-2"/>
    <n v="7.33"/>
    <n v="6.93"/>
    <x v="5"/>
    <n v="8.1599999999999992E-2"/>
    <x v="0"/>
  </r>
  <r>
    <x v="3"/>
    <x v="76"/>
    <n v="1.3599999999999999E-2"/>
    <n v="9.5"/>
    <n v="9.1"/>
    <x v="9"/>
    <n v="0.12239999999999999"/>
    <x v="0"/>
  </r>
  <r>
    <x v="3"/>
    <x v="76"/>
    <n v="1.3599999999999999E-2"/>
    <n v="7.33"/>
    <n v="6.93"/>
    <x v="5"/>
    <n v="8.1599999999999992E-2"/>
    <x v="0"/>
  </r>
  <r>
    <x v="3"/>
    <x v="76"/>
    <n v="1.3599999999999999E-2"/>
    <n v="9.5"/>
    <n v="9.1"/>
    <x v="9"/>
    <n v="0.12239999999999999"/>
    <x v="0"/>
  </r>
  <r>
    <x v="3"/>
    <x v="76"/>
    <n v="1.3599999999999999E-2"/>
    <n v="7.33"/>
    <n v="6.93"/>
    <x v="5"/>
    <n v="8.1599999999999992E-2"/>
    <x v="0"/>
  </r>
  <r>
    <x v="3"/>
    <x v="76"/>
    <n v="1.3599999999999999E-2"/>
    <n v="9.5"/>
    <n v="9.1"/>
    <x v="9"/>
    <n v="0.12239999999999999"/>
    <x v="0"/>
  </r>
  <r>
    <x v="3"/>
    <x v="100"/>
    <n v="9.3100000000000006E-3"/>
    <n v="7.33"/>
    <n v="6.93"/>
    <x v="5"/>
    <n v="5.5860000000000007E-2"/>
    <x v="0"/>
  </r>
  <r>
    <x v="3"/>
    <x v="100"/>
    <n v="9.3100000000000006E-3"/>
    <n v="9.5"/>
    <n v="9.1"/>
    <x v="9"/>
    <n v="8.3790000000000003E-2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99"/>
    <n v="1.6799999999999999E-2"/>
    <n v="7.33"/>
    <n v="6.93"/>
    <x v="5"/>
    <n v="0.1008"/>
    <x v="0"/>
  </r>
  <r>
    <x v="3"/>
    <x v="81"/>
    <n v="2.01E-2"/>
    <n v="8.4"/>
    <n v="8"/>
    <x v="11"/>
    <n v="0.1608"/>
    <x v="0"/>
  </r>
  <r>
    <x v="3"/>
    <x v="80"/>
    <n v="3.0599999999999999E-2"/>
    <n v="9.5"/>
    <n v="9.1"/>
    <x v="9"/>
    <n v="0.27539999999999998"/>
    <x v="0"/>
  </r>
  <r>
    <x v="3"/>
    <x v="76"/>
    <n v="1.3599999999999999E-2"/>
    <n v="8.27"/>
    <n v="7.8699999999999992"/>
    <x v="0"/>
    <n v="9.5199999999999993E-2"/>
    <x v="0"/>
  </r>
  <r>
    <x v="3"/>
    <x v="99"/>
    <n v="1.6799999999999999E-2"/>
    <n v="8.5299999999999994"/>
    <n v="8.129999999999999"/>
    <x v="11"/>
    <n v="0.13439999999999999"/>
    <x v="0"/>
  </r>
  <r>
    <x v="3"/>
    <x v="91"/>
    <n v="1.1299999999999999E-2"/>
    <n v="7.33"/>
    <n v="6.93"/>
    <x v="5"/>
    <n v="6.7799999999999999E-2"/>
    <x v="0"/>
  </r>
  <r>
    <x v="3"/>
    <x v="81"/>
    <n v="2.01E-2"/>
    <n v="8.4"/>
    <n v="8"/>
    <x v="11"/>
    <n v="0.1608"/>
    <x v="0"/>
  </r>
  <r>
    <x v="3"/>
    <x v="80"/>
    <n v="3.0599999999999999E-2"/>
    <n v="9.5"/>
    <n v="9.1"/>
    <x v="9"/>
    <n v="0.27539999999999998"/>
    <x v="0"/>
  </r>
  <r>
    <x v="3"/>
    <x v="76"/>
    <n v="1.3599999999999999E-2"/>
    <n v="8.27"/>
    <n v="7.8699999999999992"/>
    <x v="0"/>
    <n v="9.5199999999999993E-2"/>
    <x v="0"/>
  </r>
  <r>
    <x v="3"/>
    <x v="99"/>
    <n v="1.6799999999999999E-2"/>
    <n v="8.5299999999999994"/>
    <n v="8.129999999999999"/>
    <x v="11"/>
    <n v="0.13439999999999999"/>
    <x v="0"/>
  </r>
  <r>
    <x v="3"/>
    <x v="91"/>
    <n v="1.1299999999999999E-2"/>
    <n v="7.33"/>
    <n v="6.93"/>
    <x v="5"/>
    <n v="6.7799999999999999E-2"/>
    <x v="0"/>
  </r>
  <r>
    <x v="3"/>
    <x v="76"/>
    <n v="1.3599999999999999E-2"/>
    <n v="8.27"/>
    <n v="7.8699999999999992"/>
    <x v="0"/>
    <n v="9.5199999999999993E-2"/>
    <x v="0"/>
  </r>
  <r>
    <x v="3"/>
    <x v="99"/>
    <n v="1.6799999999999999E-2"/>
    <n v="8.5299999999999994"/>
    <n v="8.129999999999999"/>
    <x v="11"/>
    <n v="0.13439999999999999"/>
    <x v="0"/>
  </r>
  <r>
    <x v="3"/>
    <x v="76"/>
    <n v="1.3599999999999999E-2"/>
    <n v="7.33"/>
    <n v="6.93"/>
    <x v="5"/>
    <n v="8.1599999999999992E-2"/>
    <x v="0"/>
  </r>
  <r>
    <x v="3"/>
    <x v="98"/>
    <n v="2.1299999999999999E-2"/>
    <n v="8.4"/>
    <n v="8"/>
    <x v="11"/>
    <n v="0.1704"/>
    <x v="0"/>
  </r>
  <r>
    <x v="3"/>
    <x v="69"/>
    <n v="2.52E-2"/>
    <n v="9.5"/>
    <n v="9.1"/>
    <x v="9"/>
    <n v="0.2268"/>
    <x v="0"/>
  </r>
  <r>
    <x v="3"/>
    <x v="100"/>
    <n v="9.3100000000000006E-3"/>
    <n v="11.53"/>
    <n v="11.129999999999999"/>
    <x v="8"/>
    <n v="0.10241"/>
    <x v="0"/>
  </r>
  <r>
    <x v="3"/>
    <x v="76"/>
    <n v="1.3599999999999999E-2"/>
    <n v="8.4"/>
    <n v="8"/>
    <x v="11"/>
    <n v="0.10879999999999999"/>
    <x v="0"/>
  </r>
  <r>
    <x v="3"/>
    <x v="98"/>
    <n v="2.1299999999999999E-2"/>
    <n v="9.5"/>
    <n v="9.1"/>
    <x v="9"/>
    <n v="0.19169999999999998"/>
    <x v="0"/>
  </r>
  <r>
    <x v="3"/>
    <x v="107"/>
    <n v="9.0399999999999994E-3"/>
    <n v="7.33"/>
    <n v="6.93"/>
    <x v="5"/>
    <n v="5.4239999999999997E-2"/>
    <x v="0"/>
  </r>
  <r>
    <x v="3"/>
    <x v="91"/>
    <n v="1.1299999999999999E-2"/>
    <n v="8.4"/>
    <n v="8"/>
    <x v="11"/>
    <n v="9.0399999999999994E-2"/>
    <x v="0"/>
  </r>
  <r>
    <x v="3"/>
    <x v="99"/>
    <n v="1.6799999999999999E-2"/>
    <n v="9.5"/>
    <n v="9.1"/>
    <x v="9"/>
    <n v="0.1512"/>
    <x v="0"/>
  </r>
  <r>
    <x v="3"/>
    <x v="100"/>
    <n v="9.3100000000000006E-3"/>
    <n v="11.53"/>
    <n v="11.129999999999999"/>
    <x v="8"/>
    <n v="0.10241"/>
    <x v="0"/>
  </r>
  <r>
    <x v="3"/>
    <x v="99"/>
    <n v="1.6799999999999999E-2"/>
    <n v="9.5"/>
    <n v="9.1"/>
    <x v="9"/>
    <n v="0.1512"/>
    <x v="0"/>
  </r>
  <r>
    <x v="3"/>
    <x v="104"/>
    <n v="5.8700000000000002E-3"/>
    <n v="11.53"/>
    <n v="11.129999999999999"/>
    <x v="8"/>
    <n v="6.4570000000000002E-2"/>
    <x v="0"/>
  </r>
  <r>
    <x v="3"/>
    <x v="76"/>
    <n v="1.3599999999999999E-2"/>
    <n v="9.5"/>
    <n v="9.1"/>
    <x v="9"/>
    <n v="0.12239999999999999"/>
    <x v="0"/>
  </r>
  <r>
    <x v="3"/>
    <x v="99"/>
    <n v="1.6799999999999999E-2"/>
    <n v="4.1500000000000004"/>
    <n v="3.7500000000000004"/>
    <x v="1"/>
    <n v="5.04E-2"/>
    <x v="0"/>
  </r>
  <r>
    <x v="3"/>
    <x v="99"/>
    <n v="1.6799999999999999E-2"/>
    <n v="8.4"/>
    <n v="8"/>
    <x v="11"/>
    <n v="0.13439999999999999"/>
    <x v="0"/>
  </r>
  <r>
    <x v="3"/>
    <x v="69"/>
    <n v="2.52E-2"/>
    <n v="8.27"/>
    <n v="7.8699999999999992"/>
    <x v="0"/>
    <n v="0.1764"/>
    <x v="0"/>
  </r>
  <r>
    <x v="3"/>
    <x v="69"/>
    <n v="2.52E-2"/>
    <n v="8.5299999999999994"/>
    <n v="8.129999999999999"/>
    <x v="11"/>
    <n v="0.2016"/>
    <x v="0"/>
  </r>
  <r>
    <x v="3"/>
    <x v="80"/>
    <n v="3.0599999999999999E-2"/>
    <n v="8.4"/>
    <n v="8"/>
    <x v="11"/>
    <n v="0.24479999999999999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76"/>
    <n v="1.3599999999999999E-2"/>
    <n v="7.33"/>
    <n v="6.93"/>
    <x v="5"/>
    <n v="8.1599999999999992E-2"/>
    <x v="0"/>
  </r>
  <r>
    <x v="3"/>
    <x v="69"/>
    <n v="2.52E-2"/>
    <n v="8.4"/>
    <n v="8"/>
    <x v="11"/>
    <n v="0.2016"/>
    <x v="0"/>
  </r>
  <r>
    <x v="3"/>
    <x v="76"/>
    <n v="1.3599999999999999E-2"/>
    <n v="11.53"/>
    <n v="11.129999999999999"/>
    <x v="8"/>
    <n v="0.14959999999999998"/>
    <x v="0"/>
  </r>
  <r>
    <x v="3"/>
    <x v="98"/>
    <n v="2.1299999999999999E-2"/>
    <n v="8.4"/>
    <n v="8"/>
    <x v="11"/>
    <n v="0.1704"/>
    <x v="0"/>
  </r>
  <r>
    <x v="3"/>
    <x v="69"/>
    <n v="2.52E-2"/>
    <n v="9.5"/>
    <n v="9.1"/>
    <x v="9"/>
    <n v="0.2268"/>
    <x v="0"/>
  </r>
  <r>
    <x v="3"/>
    <x v="91"/>
    <n v="1.1299999999999999E-2"/>
    <n v="7.33"/>
    <n v="6.93"/>
    <x v="5"/>
    <n v="6.7799999999999999E-2"/>
    <x v="0"/>
  </r>
  <r>
    <x v="3"/>
    <x v="99"/>
    <n v="1.6799999999999999E-2"/>
    <n v="8.4"/>
    <n v="8"/>
    <x v="11"/>
    <n v="0.13439999999999999"/>
    <x v="0"/>
  </r>
  <r>
    <x v="3"/>
    <x v="69"/>
    <n v="2.52E-2"/>
    <n v="9.5"/>
    <n v="9.1"/>
    <x v="9"/>
    <n v="0.2268"/>
    <x v="0"/>
  </r>
  <r>
    <x v="3"/>
    <x v="76"/>
    <n v="1.3599999999999999E-2"/>
    <n v="11.53"/>
    <n v="11.129999999999999"/>
    <x v="8"/>
    <n v="0.14959999999999998"/>
    <x v="0"/>
  </r>
  <r>
    <x v="3"/>
    <x v="98"/>
    <n v="2.1299999999999999E-2"/>
    <n v="9.5"/>
    <n v="9.1"/>
    <x v="9"/>
    <n v="0.19169999999999998"/>
    <x v="0"/>
  </r>
  <r>
    <x v="3"/>
    <x v="107"/>
    <n v="9.0399999999999994E-3"/>
    <n v="11.53"/>
    <n v="11.129999999999999"/>
    <x v="8"/>
    <n v="9.9440000000000001E-2"/>
    <x v="0"/>
  </r>
  <r>
    <x v="3"/>
    <x v="99"/>
    <n v="1.6799999999999999E-2"/>
    <n v="9.5"/>
    <n v="9.1"/>
    <x v="9"/>
    <n v="0.1512"/>
    <x v="0"/>
  </r>
  <r>
    <x v="3"/>
    <x v="110"/>
    <n v="4.7099999999999998E-3"/>
    <n v="7.33"/>
    <n v="6.93"/>
    <x v="5"/>
    <n v="2.826E-2"/>
    <x v="1"/>
  </r>
  <r>
    <x v="3"/>
    <x v="65"/>
    <n v="5.8700000000000002E-3"/>
    <n v="9.5"/>
    <n v="9.1"/>
    <x v="9"/>
    <n v="5.2830000000000002E-2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76"/>
    <n v="1.3599999999999999E-2"/>
    <n v="7.33"/>
    <n v="6.93"/>
    <x v="5"/>
    <n v="8.1599999999999992E-2"/>
    <x v="0"/>
  </r>
  <r>
    <x v="3"/>
    <x v="81"/>
    <n v="2.01E-2"/>
    <n v="8.4"/>
    <n v="8"/>
    <x v="11"/>
    <n v="0.1608"/>
    <x v="0"/>
  </r>
  <r>
    <x v="3"/>
    <x v="80"/>
    <n v="3.0599999999999999E-2"/>
    <n v="9.5"/>
    <n v="9.1"/>
    <x v="9"/>
    <n v="0.27539999999999998"/>
    <x v="0"/>
  </r>
  <r>
    <x v="3"/>
    <x v="100"/>
    <n v="9.3100000000000006E-3"/>
    <n v="4.1500000000000004"/>
    <n v="3.7500000000000004"/>
    <x v="1"/>
    <n v="2.7930000000000003E-2"/>
    <x v="0"/>
  </r>
  <r>
    <x v="3"/>
    <x v="99"/>
    <n v="1.6799999999999999E-2"/>
    <n v="8.4"/>
    <n v="8"/>
    <x v="11"/>
    <n v="0.13439999999999999"/>
    <x v="0"/>
  </r>
  <r>
    <x v="3"/>
    <x v="81"/>
    <n v="2.01E-2"/>
    <n v="8.27"/>
    <n v="7.8699999999999992"/>
    <x v="0"/>
    <n v="0.14069999999999999"/>
    <x v="0"/>
  </r>
  <r>
    <x v="3"/>
    <x v="69"/>
    <n v="2.52E-2"/>
    <n v="8.5299999999999994"/>
    <n v="8.129999999999999"/>
    <x v="11"/>
    <n v="0.2016"/>
    <x v="0"/>
  </r>
  <r>
    <x v="3"/>
    <x v="80"/>
    <n v="3.0599999999999999E-2"/>
    <n v="8.4"/>
    <n v="8"/>
    <x v="11"/>
    <n v="0.24479999999999999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100"/>
    <n v="9.3100000000000006E-3"/>
    <n v="7.33"/>
    <n v="6.93"/>
    <x v="5"/>
    <n v="5.5860000000000007E-2"/>
    <x v="0"/>
  </r>
  <r>
    <x v="3"/>
    <x v="69"/>
    <n v="2.52E-2"/>
    <n v="8.4"/>
    <n v="8"/>
    <x v="11"/>
    <n v="0.2016"/>
    <x v="0"/>
  </r>
  <r>
    <x v="3"/>
    <x v="99"/>
    <n v="1.6799999999999999E-2"/>
    <n v="11.53"/>
    <n v="11.129999999999999"/>
    <x v="8"/>
    <n v="0.18479999999999999"/>
    <x v="0"/>
  </r>
  <r>
    <x v="3"/>
    <x v="99"/>
    <n v="1.6799999999999999E-2"/>
    <n v="8.4"/>
    <n v="8"/>
    <x v="11"/>
    <n v="0.13439999999999999"/>
    <x v="0"/>
  </r>
  <r>
    <x v="3"/>
    <x v="95"/>
    <n v="4.3299999999999998E-2"/>
    <n v="9.5"/>
    <n v="9.1"/>
    <x v="9"/>
    <n v="0.38969999999999999"/>
    <x v="1"/>
  </r>
  <r>
    <x v="3"/>
    <x v="91"/>
    <n v="1.1299999999999999E-2"/>
    <n v="7.33"/>
    <n v="6.93"/>
    <x v="5"/>
    <n v="6.7799999999999999E-2"/>
    <x v="0"/>
  </r>
  <r>
    <x v="3"/>
    <x v="76"/>
    <n v="1.3599999999999999E-2"/>
    <n v="8.4"/>
    <n v="8"/>
    <x v="11"/>
    <n v="0.10879999999999999"/>
    <x v="0"/>
  </r>
  <r>
    <x v="3"/>
    <x v="81"/>
    <n v="2.01E-2"/>
    <n v="9.5"/>
    <n v="9.1"/>
    <x v="9"/>
    <n v="0.18090000000000001"/>
    <x v="0"/>
  </r>
  <r>
    <x v="3"/>
    <x v="100"/>
    <n v="9.3100000000000006E-3"/>
    <n v="7.33"/>
    <n v="6.93"/>
    <x v="5"/>
    <n v="5.5860000000000007E-2"/>
    <x v="0"/>
  </r>
  <r>
    <x v="3"/>
    <x v="99"/>
    <n v="1.6799999999999999E-2"/>
    <n v="9.5"/>
    <n v="9.1"/>
    <x v="9"/>
    <n v="0.1512"/>
    <x v="0"/>
  </r>
  <r>
    <x v="3"/>
    <x v="100"/>
    <n v="9.3100000000000006E-3"/>
    <n v="7.33"/>
    <n v="6.93"/>
    <x v="5"/>
    <n v="5.5860000000000007E-2"/>
    <x v="0"/>
  </r>
  <r>
    <x v="3"/>
    <x v="76"/>
    <n v="1.3599999999999999E-2"/>
    <n v="9.5"/>
    <n v="9.1"/>
    <x v="9"/>
    <n v="0.12239999999999999"/>
    <x v="0"/>
  </r>
  <r>
    <x v="3"/>
    <x v="100"/>
    <n v="9.3100000000000006E-3"/>
    <n v="12.63"/>
    <n v="12.23"/>
    <x v="13"/>
    <n v="0.11172000000000001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76"/>
    <n v="1.3599999999999999E-2"/>
    <n v="7.33"/>
    <n v="6.93"/>
    <x v="5"/>
    <n v="8.1599999999999992E-2"/>
    <x v="0"/>
  </r>
  <r>
    <x v="3"/>
    <x v="69"/>
    <n v="2.52E-2"/>
    <n v="8.4"/>
    <n v="8"/>
    <x v="11"/>
    <n v="0.2016"/>
    <x v="0"/>
  </r>
  <r>
    <x v="3"/>
    <x v="100"/>
    <n v="9.3100000000000006E-3"/>
    <n v="7.2"/>
    <n v="6.8"/>
    <x v="5"/>
    <n v="5.5860000000000007E-2"/>
    <x v="0"/>
  </r>
  <r>
    <x v="3"/>
    <x v="76"/>
    <n v="1.3599999999999999E-2"/>
    <n v="8.5299999999999994"/>
    <n v="8.129999999999999"/>
    <x v="11"/>
    <n v="0.10879999999999999"/>
    <x v="0"/>
  </r>
  <r>
    <x v="3"/>
    <x v="98"/>
    <n v="2.1299999999999999E-2"/>
    <n v="8.4"/>
    <n v="8"/>
    <x v="11"/>
    <n v="0.1704"/>
    <x v="0"/>
  </r>
  <r>
    <x v="3"/>
    <x v="100"/>
    <n v="9.3100000000000006E-3"/>
    <n v="2.8994789999999999"/>
    <n v="2.499479"/>
    <x v="6"/>
    <n v="1.8620000000000001E-2"/>
    <x v="0"/>
  </r>
  <r>
    <x v="3"/>
    <x v="98"/>
    <n v="2.1299999999999999E-2"/>
    <n v="12.830520999999999"/>
    <n v="12.430520999999999"/>
    <x v="13"/>
    <n v="0.25559999999999999"/>
    <x v="0"/>
  </r>
  <r>
    <x v="3"/>
    <x v="98"/>
    <n v="2.1299999999999999E-2"/>
    <n v="9.5"/>
    <n v="9.1"/>
    <x v="9"/>
    <n v="0.19169999999999998"/>
    <x v="0"/>
  </r>
  <r>
    <x v="3"/>
    <x v="76"/>
    <n v="1.3599999999999999E-2"/>
    <n v="11.53"/>
    <n v="11.129999999999999"/>
    <x v="8"/>
    <n v="0.14959999999999998"/>
    <x v="0"/>
  </r>
  <r>
    <x v="3"/>
    <x v="98"/>
    <n v="2.1299999999999999E-2"/>
    <n v="9.5"/>
    <n v="9.1"/>
    <x v="9"/>
    <n v="0.19169999999999998"/>
    <x v="0"/>
  </r>
  <r>
    <x v="3"/>
    <x v="99"/>
    <n v="1.6799999999999999E-2"/>
    <n v="12.63"/>
    <n v="12.23"/>
    <x v="13"/>
    <n v="0.2016"/>
    <x v="0"/>
  </r>
  <r>
    <x v="3"/>
    <x v="76"/>
    <n v="1.3599999999999999E-2"/>
    <n v="12.63"/>
    <n v="12.23"/>
    <x v="13"/>
    <n v="0.16319999999999998"/>
    <x v="0"/>
  </r>
  <r>
    <x v="3"/>
    <x v="110"/>
    <n v="4.7099999999999998E-3"/>
    <n v="8.43"/>
    <n v="8.0299999999999994"/>
    <x v="11"/>
    <n v="3.7679999999999998E-2"/>
    <x v="1"/>
  </r>
  <r>
    <x v="3"/>
    <x v="104"/>
    <n v="5.8700000000000002E-3"/>
    <n v="8.43"/>
    <n v="8.0299999999999994"/>
    <x v="11"/>
    <n v="4.6960000000000002E-2"/>
    <x v="0"/>
  </r>
  <r>
    <x v="3"/>
    <x v="107"/>
    <n v="9.0399999999999994E-3"/>
    <n v="4.55"/>
    <n v="4.1499999999999995"/>
    <x v="3"/>
    <n v="3.6159999999999998E-2"/>
    <x v="0"/>
  </r>
  <r>
    <x v="3"/>
    <x v="97"/>
    <n v="1.0999999999999999E-2"/>
    <n v="13.790405"/>
    <n v="13.390404999999999"/>
    <x v="14"/>
    <n v="0.14299999999999999"/>
    <x v="0"/>
  </r>
  <r>
    <x v="3"/>
    <x v="97"/>
    <n v="1.0999999999999999E-2"/>
    <n v="13.790405"/>
    <n v="13.390404999999999"/>
    <x v="14"/>
    <n v="0.14299999999999999"/>
    <x v="0"/>
  </r>
  <r>
    <x v="4"/>
    <x v="58"/>
    <n v="3.0400000000000002E-3"/>
    <n v="1.7729999999999999"/>
    <n v="1.3729999999999998"/>
    <x v="2"/>
    <n v="3.0400000000000002E-3"/>
    <x v="0"/>
  </r>
  <r>
    <x v="4"/>
    <x v="58"/>
    <n v="3.0400000000000002E-3"/>
    <n v="1.7729999999999999"/>
    <n v="1.3729999999999998"/>
    <x v="2"/>
    <n v="3.0400000000000002E-3"/>
    <x v="0"/>
  </r>
  <r>
    <x v="3"/>
    <x v="113"/>
    <n v="7.6400000000000001E-3"/>
    <n v="8.6988230000000009"/>
    <n v="8.2988230000000005"/>
    <x v="11"/>
    <n v="6.1120000000000001E-2"/>
    <x v="1"/>
  </r>
  <r>
    <x v="3"/>
    <x v="97"/>
    <n v="1.0999999999999999E-2"/>
    <n v="10.099107999999999"/>
    <n v="9.699107999999999"/>
    <x v="9"/>
    <n v="9.8999999999999991E-2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3.637915"/>
    <n v="3.2379150000000001"/>
    <x v="1"/>
    <n v="3.3000000000000002E-2"/>
    <x v="0"/>
  </r>
  <r>
    <x v="3"/>
    <x v="113"/>
    <n v="7.6400000000000001E-3"/>
    <n v="8.6585490000000007"/>
    <n v="8.2585490000000004"/>
    <x v="11"/>
    <n v="6.1120000000000001E-2"/>
    <x v="1"/>
  </r>
  <r>
    <x v="3"/>
    <x v="113"/>
    <n v="7.6400000000000001E-3"/>
    <n v="8.5339340000000004"/>
    <n v="8.133934"/>
    <x v="11"/>
    <n v="6.1120000000000001E-2"/>
    <x v="1"/>
  </r>
  <r>
    <x v="3"/>
    <x v="113"/>
    <n v="7.6400000000000001E-3"/>
    <n v="8.6988230000000009"/>
    <n v="8.2988230000000005"/>
    <x v="11"/>
    <n v="6.1120000000000001E-2"/>
    <x v="1"/>
  </r>
  <r>
    <x v="3"/>
    <x v="97"/>
    <n v="1.0999999999999999E-2"/>
    <n v="10.099107999999999"/>
    <n v="9.699107999999999"/>
    <x v="9"/>
    <n v="9.8999999999999991E-2"/>
    <x v="0"/>
  </r>
  <r>
    <x v="3"/>
    <x v="110"/>
    <n v="4.7099999999999998E-3"/>
    <n v="2.33636"/>
    <n v="1.9363600000000001"/>
    <x v="2"/>
    <n v="4.7099999999999998E-3"/>
    <x v="1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3.2328869999999998"/>
    <n v="2.8328869999999999"/>
    <x v="6"/>
    <n v="2.1999999999999999E-2"/>
    <x v="0"/>
  </r>
  <r>
    <x v="3"/>
    <x v="113"/>
    <n v="7.6400000000000001E-3"/>
    <n v="2.8988649999999998"/>
    <n v="2.4988649999999999"/>
    <x v="6"/>
    <n v="1.528E-2"/>
    <x v="1"/>
  </r>
  <r>
    <x v="3"/>
    <x v="97"/>
    <n v="1.0999999999999999E-2"/>
    <n v="1.5385409999999999"/>
    <n v="1.138541"/>
    <x v="2"/>
    <n v="1.0999999999999999E-2"/>
    <x v="0"/>
  </r>
  <r>
    <x v="3"/>
    <x v="97"/>
    <n v="1.0999999999999999E-2"/>
    <n v="4.8172300000000003"/>
    <n v="4.41723"/>
    <x v="3"/>
    <n v="4.3999999999999997E-2"/>
    <x v="0"/>
  </r>
  <r>
    <x v="3"/>
    <x v="113"/>
    <n v="7.6400000000000001E-3"/>
    <n v="2.8988649999999998"/>
    <n v="2.4988649999999999"/>
    <x v="6"/>
    <n v="1.528E-2"/>
    <x v="1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14"/>
    <n v="8.0799999999999997E-2"/>
    <n v="6.48"/>
    <n v="6.08"/>
    <x v="5"/>
    <n v="0.48480000000000001"/>
    <x v="1"/>
  </r>
  <r>
    <x v="7"/>
    <x v="115"/>
    <n v="9.2099999999999994E-3"/>
    <n v="4.2"/>
    <n v="3.8000000000000003"/>
    <x v="1"/>
    <n v="2.7629999999999998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97"/>
    <n v="1.0999999999999999E-2"/>
    <n v="3.24"/>
    <n v="2.8400000000000003"/>
    <x v="6"/>
    <n v="2.1999999999999999E-2"/>
    <x v="0"/>
  </r>
  <r>
    <x v="3"/>
    <x v="97"/>
    <n v="1.0999999999999999E-2"/>
    <n v="3.24"/>
    <n v="2.8400000000000003"/>
    <x v="6"/>
    <n v="2.1999999999999999E-2"/>
    <x v="0"/>
  </r>
  <r>
    <x v="3"/>
    <x v="97"/>
    <n v="1.0999999999999999E-2"/>
    <n v="3.24"/>
    <n v="2.8400000000000003"/>
    <x v="6"/>
    <n v="2.1999999999999999E-2"/>
    <x v="0"/>
  </r>
  <r>
    <x v="3"/>
    <x v="97"/>
    <n v="1.0999999999999999E-2"/>
    <n v="3.24"/>
    <n v="2.8400000000000003"/>
    <x v="6"/>
    <n v="2.1999999999999999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6"/>
    <n v="7.0199999999999999E-2"/>
    <n v="7.03"/>
    <n v="6.63"/>
    <x v="5"/>
    <n v="0.42120000000000002"/>
    <x v="0"/>
  </r>
  <r>
    <x v="3"/>
    <x v="106"/>
    <n v="7.0199999999999999E-2"/>
    <n v="7.03"/>
    <n v="6.63"/>
    <x v="5"/>
    <n v="0.42120000000000002"/>
    <x v="0"/>
  </r>
  <r>
    <x v="3"/>
    <x v="106"/>
    <n v="7.0199999999999999E-2"/>
    <n v="7.03"/>
    <n v="6.63"/>
    <x v="5"/>
    <n v="0.42120000000000002"/>
    <x v="0"/>
  </r>
  <r>
    <x v="3"/>
    <x v="16"/>
    <n v="5.0099999999999999E-2"/>
    <n v="7.03"/>
    <n v="6.63"/>
    <x v="5"/>
    <n v="0.30059999999999998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12"/>
    <n v="3.8300000000000001E-3"/>
    <n v="4.2699999999999996"/>
    <n v="3.8699999999999997"/>
    <x v="1"/>
    <n v="1.149E-2"/>
    <x v="0"/>
  </r>
  <r>
    <x v="3"/>
    <x v="112"/>
    <n v="3.8300000000000001E-3"/>
    <n v="3.72"/>
    <n v="3.3200000000000003"/>
    <x v="1"/>
    <n v="1.149E-2"/>
    <x v="0"/>
  </r>
  <r>
    <x v="3"/>
    <x v="112"/>
    <n v="3.8300000000000001E-3"/>
    <n v="4.2699999999999996"/>
    <n v="3.8699999999999997"/>
    <x v="1"/>
    <n v="1.149E-2"/>
    <x v="0"/>
  </r>
  <r>
    <x v="3"/>
    <x v="109"/>
    <n v="2.9199999999999999E-3"/>
    <n v="1.53"/>
    <n v="1.1299999999999999"/>
    <x v="2"/>
    <n v="2.9199999999999999E-3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9"/>
    <n v="2.9199999999999999E-3"/>
    <n v="1.53"/>
    <n v="1.1299999999999999"/>
    <x v="2"/>
    <n v="2.9199999999999999E-3"/>
    <x v="0"/>
  </r>
  <r>
    <x v="3"/>
    <x v="109"/>
    <n v="2.9199999999999999E-3"/>
    <n v="1.53"/>
    <n v="1.1299999999999999"/>
    <x v="2"/>
    <n v="2.9199999999999999E-3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14"/>
    <n v="8.0799999999999997E-2"/>
    <n v="2.76"/>
    <n v="2.36"/>
    <x v="6"/>
    <n v="0.16159999999999999"/>
    <x v="1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14"/>
    <n v="8.0799999999999997E-2"/>
    <n v="6.48"/>
    <n v="6.08"/>
    <x v="5"/>
    <n v="0.48480000000000001"/>
    <x v="1"/>
  </r>
  <r>
    <x v="3"/>
    <x v="16"/>
    <n v="5.0099999999999999E-2"/>
    <n v="8.23"/>
    <n v="7.83"/>
    <x v="0"/>
    <n v="0.35070000000000001"/>
    <x v="0"/>
  </r>
  <r>
    <x v="3"/>
    <x v="95"/>
    <n v="4.3299999999999998E-2"/>
    <n v="8.23"/>
    <n v="7.83"/>
    <x v="0"/>
    <n v="0.30309999999999998"/>
    <x v="1"/>
  </r>
  <r>
    <x v="3"/>
    <x v="18"/>
    <n v="3.6600000000000001E-2"/>
    <n v="8.23"/>
    <n v="7.83"/>
    <x v="0"/>
    <n v="0.25619999999999998"/>
    <x v="0"/>
  </r>
  <r>
    <x v="3"/>
    <x v="95"/>
    <n v="4.3299999999999998E-2"/>
    <n v="8.23"/>
    <n v="7.83"/>
    <x v="0"/>
    <n v="0.30309999999999998"/>
    <x v="1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3"/>
    <x v="18"/>
    <n v="3.6600000000000001E-2"/>
    <n v="8.23"/>
    <n v="7.83"/>
    <x v="0"/>
    <n v="0.25619999999999998"/>
    <x v="0"/>
  </r>
  <r>
    <x v="3"/>
    <x v="16"/>
    <n v="5.0099999999999999E-2"/>
    <n v="8.23"/>
    <n v="7.83"/>
    <x v="0"/>
    <n v="0.35070000000000001"/>
    <x v="0"/>
  </r>
  <r>
    <x v="3"/>
    <x v="18"/>
    <n v="3.6600000000000001E-2"/>
    <n v="8.23"/>
    <n v="7.83"/>
    <x v="0"/>
    <n v="0.25619999999999998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95"/>
    <n v="4.3299999999999998E-2"/>
    <n v="8.23"/>
    <n v="7.83"/>
    <x v="0"/>
    <n v="0.30309999999999998"/>
    <x v="1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06"/>
    <n v="7.0199999999999999E-2"/>
    <n v="8.23"/>
    <n v="7.83"/>
    <x v="0"/>
    <n v="0.4914"/>
    <x v="0"/>
  </r>
  <r>
    <x v="3"/>
    <x v="16"/>
    <n v="5.0099999999999999E-2"/>
    <n v="8.23"/>
    <n v="7.83"/>
    <x v="0"/>
    <n v="0.35070000000000001"/>
    <x v="0"/>
  </r>
  <r>
    <x v="3"/>
    <x v="106"/>
    <n v="7.0199999999999999E-2"/>
    <n v="8.23"/>
    <n v="7.83"/>
    <x v="0"/>
    <n v="0.4914"/>
    <x v="0"/>
  </r>
  <r>
    <x v="3"/>
    <x v="16"/>
    <n v="5.0099999999999999E-2"/>
    <n v="8.23"/>
    <n v="7.83"/>
    <x v="0"/>
    <n v="0.35070000000000001"/>
    <x v="0"/>
  </r>
  <r>
    <x v="3"/>
    <x v="108"/>
    <n v="5.9499999999999997E-2"/>
    <n v="8.23"/>
    <n v="7.83"/>
    <x v="0"/>
    <n v="0.41649999999999998"/>
    <x v="1"/>
  </r>
  <r>
    <x v="3"/>
    <x v="109"/>
    <n v="2.9199999999999999E-3"/>
    <n v="3.13"/>
    <n v="2.73"/>
    <x v="6"/>
    <n v="5.8399999999999997E-3"/>
    <x v="0"/>
  </r>
  <r>
    <x v="3"/>
    <x v="104"/>
    <n v="5.8700000000000002E-3"/>
    <n v="5.22"/>
    <n v="4.8199999999999994"/>
    <x v="3"/>
    <n v="2.3480000000000001E-2"/>
    <x v="0"/>
  </r>
  <r>
    <x v="3"/>
    <x v="104"/>
    <n v="5.8700000000000002E-3"/>
    <n v="5.22"/>
    <n v="4.8199999999999994"/>
    <x v="3"/>
    <n v="2.3480000000000001E-2"/>
    <x v="0"/>
  </r>
  <r>
    <x v="3"/>
    <x v="109"/>
    <n v="2.9199999999999999E-3"/>
    <n v="3.13"/>
    <n v="2.73"/>
    <x v="6"/>
    <n v="5.8399999999999997E-3"/>
    <x v="0"/>
  </r>
  <r>
    <x v="3"/>
    <x v="95"/>
    <n v="4.3299999999999998E-2"/>
    <n v="9.14"/>
    <n v="8.74"/>
    <x v="11"/>
    <n v="0.34639999999999999"/>
    <x v="1"/>
  </r>
  <r>
    <x v="3"/>
    <x v="80"/>
    <n v="3.0599999999999999E-2"/>
    <n v="9.14"/>
    <n v="8.74"/>
    <x v="11"/>
    <n v="0.24479999999999999"/>
    <x v="0"/>
  </r>
  <r>
    <x v="3"/>
    <x v="80"/>
    <n v="3.0599999999999999E-2"/>
    <n v="9.14"/>
    <n v="8.74"/>
    <x v="11"/>
    <n v="0.24479999999999999"/>
    <x v="0"/>
  </r>
  <r>
    <x v="3"/>
    <x v="100"/>
    <n v="9.3100000000000006E-3"/>
    <n v="4.1500000000000004"/>
    <n v="3.7500000000000004"/>
    <x v="1"/>
    <n v="2.7930000000000003E-2"/>
    <x v="0"/>
  </r>
  <r>
    <x v="3"/>
    <x v="100"/>
    <n v="9.3100000000000006E-3"/>
    <n v="4.1500000000000004"/>
    <n v="3.7500000000000004"/>
    <x v="1"/>
    <n v="2.7930000000000003E-2"/>
    <x v="0"/>
  </r>
  <r>
    <x v="3"/>
    <x v="84"/>
    <n v="1.23E-2"/>
    <n v="6.08"/>
    <n v="5.68"/>
    <x v="7"/>
    <n v="6.1499999999999999E-2"/>
    <x v="0"/>
  </r>
  <r>
    <x v="3"/>
    <x v="84"/>
    <n v="1.23E-2"/>
    <n v="6.08"/>
    <n v="5.68"/>
    <x v="7"/>
    <n v="6.1499999999999999E-2"/>
    <x v="0"/>
  </r>
  <r>
    <x v="3"/>
    <x v="84"/>
    <n v="1.23E-2"/>
    <n v="6.08"/>
    <n v="5.68"/>
    <x v="7"/>
    <n v="6.1499999999999999E-2"/>
    <x v="0"/>
  </r>
  <r>
    <x v="3"/>
    <x v="84"/>
    <n v="1.23E-2"/>
    <n v="6.08"/>
    <n v="5.68"/>
    <x v="7"/>
    <n v="6.1499999999999999E-2"/>
    <x v="0"/>
  </r>
  <r>
    <x v="3"/>
    <x v="76"/>
    <n v="1.3599999999999999E-2"/>
    <n v="7.33"/>
    <n v="6.93"/>
    <x v="5"/>
    <n v="8.1599999999999992E-2"/>
    <x v="0"/>
  </r>
  <r>
    <x v="3"/>
    <x v="116"/>
    <n v="1.95E-2"/>
    <n v="8.4"/>
    <n v="8"/>
    <x v="11"/>
    <n v="0.156"/>
    <x v="1"/>
  </r>
  <r>
    <x v="3"/>
    <x v="111"/>
    <n v="2.9899999999999999E-2"/>
    <n v="8.4"/>
    <n v="8"/>
    <x v="11"/>
    <n v="0.2392"/>
    <x v="1"/>
  </r>
  <r>
    <x v="3"/>
    <x v="111"/>
    <n v="2.9899999999999999E-2"/>
    <n v="8.4"/>
    <n v="8"/>
    <x v="11"/>
    <n v="0.2392"/>
    <x v="1"/>
  </r>
  <r>
    <x v="3"/>
    <x v="95"/>
    <n v="4.3299999999999998E-2"/>
    <n v="9.5"/>
    <n v="9.1"/>
    <x v="9"/>
    <n v="0.38969999999999999"/>
    <x v="1"/>
  </r>
  <r>
    <x v="3"/>
    <x v="106"/>
    <n v="7.0199999999999999E-2"/>
    <n v="8.23"/>
    <n v="7.83"/>
    <x v="0"/>
    <n v="0.4914"/>
    <x v="0"/>
  </r>
  <r>
    <x v="3"/>
    <x v="81"/>
    <n v="2.01E-2"/>
    <n v="11.53"/>
    <n v="11.129999999999999"/>
    <x v="8"/>
    <n v="0.22109999999999999"/>
    <x v="0"/>
  </r>
  <r>
    <x v="3"/>
    <x v="81"/>
    <n v="2.01E-2"/>
    <n v="7.33"/>
    <n v="6.93"/>
    <x v="5"/>
    <n v="0.1206"/>
    <x v="0"/>
  </r>
  <r>
    <x v="3"/>
    <x v="81"/>
    <n v="2.01E-2"/>
    <n v="9.5"/>
    <n v="9.1"/>
    <x v="9"/>
    <n v="0.18090000000000001"/>
    <x v="0"/>
  </r>
  <r>
    <x v="3"/>
    <x v="81"/>
    <n v="2.01E-2"/>
    <n v="9.5"/>
    <n v="9.1"/>
    <x v="9"/>
    <n v="0.18090000000000001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8"/>
    <n v="6.0800000000000003E-3"/>
    <n v="6.8506640000000001"/>
    <n v="6.4506639999999997"/>
    <x v="5"/>
    <n v="3.6479999999999999E-2"/>
    <x v="1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10.32593"/>
    <n v="9.9259299999999993"/>
    <x v="9"/>
    <n v="4.8960000000000004E-2"/>
    <x v="0"/>
  </r>
  <r>
    <x v="7"/>
    <x v="120"/>
    <n v="5.4400000000000004E-3"/>
    <n v="10.32593"/>
    <n v="9.9259299999999993"/>
    <x v="9"/>
    <n v="4.8960000000000004E-2"/>
    <x v="0"/>
  </r>
  <r>
    <x v="7"/>
    <x v="117"/>
    <n v="1.15E-2"/>
    <n v="8.5962320000000005"/>
    <n v="8.1962320000000002"/>
    <x v="11"/>
    <n v="9.1999999999999998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10.32593"/>
    <n v="9.9259299999999993"/>
    <x v="9"/>
    <n v="4.8960000000000004E-2"/>
    <x v="0"/>
  </r>
  <r>
    <x v="7"/>
    <x v="120"/>
    <n v="5.4400000000000004E-3"/>
    <n v="10.32593"/>
    <n v="9.9259299999999993"/>
    <x v="9"/>
    <n v="4.8960000000000004E-2"/>
    <x v="0"/>
  </r>
  <r>
    <x v="7"/>
    <x v="117"/>
    <n v="1.15E-2"/>
    <n v="8.5962320000000005"/>
    <n v="8.1962320000000002"/>
    <x v="11"/>
    <n v="9.1999999999999998E-2"/>
    <x v="0"/>
  </r>
  <r>
    <x v="7"/>
    <x v="119"/>
    <n v="8.2100000000000003E-3"/>
    <n v="6.3062909999999999"/>
    <n v="5.9062909999999995"/>
    <x v="7"/>
    <n v="4.1050000000000003E-2"/>
    <x v="0"/>
  </r>
  <r>
    <x v="7"/>
    <x v="119"/>
    <n v="8.2100000000000003E-3"/>
    <n v="6.3062909999999999"/>
    <n v="5.9062909999999995"/>
    <x v="7"/>
    <n v="4.1050000000000003E-2"/>
    <x v="0"/>
  </r>
  <r>
    <x v="7"/>
    <x v="119"/>
    <n v="8.2100000000000003E-3"/>
    <n v="6.3062909999999999"/>
    <n v="5.9062909999999995"/>
    <x v="7"/>
    <n v="4.1050000000000003E-2"/>
    <x v="0"/>
  </r>
  <r>
    <x v="7"/>
    <x v="119"/>
    <n v="8.2100000000000003E-3"/>
    <n v="6.3062909999999999"/>
    <n v="5.9062909999999995"/>
    <x v="7"/>
    <n v="4.1050000000000003E-2"/>
    <x v="0"/>
  </r>
  <r>
    <x v="7"/>
    <x v="119"/>
    <n v="8.2100000000000003E-3"/>
    <n v="6.3062909999999999"/>
    <n v="5.9062909999999995"/>
    <x v="7"/>
    <n v="4.1050000000000003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8"/>
    <n v="6.0800000000000003E-3"/>
    <n v="6.037922"/>
    <n v="5.6379219999999997"/>
    <x v="7"/>
    <n v="3.0400000000000003E-2"/>
    <x v="1"/>
  </r>
  <r>
    <x v="7"/>
    <x v="117"/>
    <n v="1.15E-2"/>
    <n v="8.3439530000000008"/>
    <n v="7.9439530000000005"/>
    <x v="0"/>
    <n v="8.0500000000000002E-2"/>
    <x v="0"/>
  </r>
  <r>
    <x v="7"/>
    <x v="117"/>
    <n v="1.15E-2"/>
    <n v="8.9496739999999999"/>
    <n v="8.5496739999999996"/>
    <x v="11"/>
    <n v="9.1999999999999998E-2"/>
    <x v="0"/>
  </r>
  <r>
    <x v="7"/>
    <x v="120"/>
    <n v="5.4400000000000004E-3"/>
    <n v="6.9268749999999999"/>
    <n v="6.5268749999999995"/>
    <x v="5"/>
    <n v="3.2640000000000002E-2"/>
    <x v="0"/>
  </r>
  <r>
    <x v="7"/>
    <x v="117"/>
    <n v="1.15E-2"/>
    <n v="9.0081439999999997"/>
    <n v="8.6081439999999994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8.9330400000000001"/>
    <n v="8.5330399999999997"/>
    <x v="11"/>
    <n v="3.4639999999999997E-2"/>
    <x v="1"/>
  </r>
  <r>
    <x v="7"/>
    <x v="118"/>
    <n v="6.0800000000000003E-3"/>
    <n v="10.628463999999999"/>
    <n v="10.228463999999999"/>
    <x v="10"/>
    <n v="6.0800000000000007E-2"/>
    <x v="1"/>
  </r>
  <r>
    <x v="7"/>
    <x v="118"/>
    <n v="6.0800000000000003E-3"/>
    <n v="6.037922"/>
    <n v="5.6379219999999997"/>
    <x v="7"/>
    <n v="3.0400000000000003E-2"/>
    <x v="1"/>
  </r>
  <r>
    <x v="7"/>
    <x v="117"/>
    <n v="1.15E-2"/>
    <n v="8.3439530000000008"/>
    <n v="7.9439530000000005"/>
    <x v="0"/>
    <n v="8.0500000000000002E-2"/>
    <x v="0"/>
  </r>
  <r>
    <x v="7"/>
    <x v="117"/>
    <n v="1.15E-2"/>
    <n v="8.9496739999999999"/>
    <n v="8.5496739999999996"/>
    <x v="11"/>
    <n v="9.1999999999999998E-2"/>
    <x v="0"/>
  </r>
  <r>
    <x v="7"/>
    <x v="118"/>
    <n v="6.0800000000000003E-3"/>
    <n v="6.8506640000000001"/>
    <n v="6.4506639999999997"/>
    <x v="5"/>
    <n v="3.6479999999999999E-2"/>
    <x v="1"/>
  </r>
  <r>
    <x v="7"/>
    <x v="120"/>
    <n v="5.4400000000000004E-3"/>
    <n v="6.9268749999999999"/>
    <n v="6.5268749999999995"/>
    <x v="5"/>
    <n v="3.2640000000000002E-2"/>
    <x v="0"/>
  </r>
  <r>
    <x v="7"/>
    <x v="117"/>
    <n v="1.15E-2"/>
    <n v="9.0081439999999997"/>
    <n v="8.6081439999999994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8.9330400000000001"/>
    <n v="8.5330399999999997"/>
    <x v="11"/>
    <n v="3.4639999999999997E-2"/>
    <x v="1"/>
  </r>
  <r>
    <x v="7"/>
    <x v="118"/>
    <n v="6.0800000000000003E-3"/>
    <n v="10.628463999999999"/>
    <n v="10.228463999999999"/>
    <x v="10"/>
    <n v="6.0800000000000007E-2"/>
    <x v="1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7.8945299999999996"/>
    <n v="7.4945299999999992"/>
    <x v="0"/>
    <n v="6.447E-2"/>
    <x v="0"/>
  </r>
  <r>
    <x v="7"/>
    <x v="115"/>
    <n v="9.2099999999999994E-3"/>
    <n v="7.8945299999999996"/>
    <n v="7.4945299999999992"/>
    <x v="0"/>
    <n v="6.447E-2"/>
    <x v="0"/>
  </r>
  <r>
    <x v="7"/>
    <x v="115"/>
    <n v="9.2099999999999994E-3"/>
    <n v="7.8945299999999996"/>
    <n v="7.4945299999999992"/>
    <x v="0"/>
    <n v="6.447E-2"/>
    <x v="0"/>
  </r>
  <r>
    <x v="7"/>
    <x v="115"/>
    <n v="9.2099999999999994E-3"/>
    <n v="6.0183799999999996"/>
    <n v="5.6183799999999993"/>
    <x v="7"/>
    <n v="4.6049999999999994E-2"/>
    <x v="0"/>
  </r>
  <r>
    <x v="7"/>
    <x v="115"/>
    <n v="9.2099999999999994E-3"/>
    <n v="6.0183799999999996"/>
    <n v="5.6183799999999993"/>
    <x v="7"/>
    <n v="4.6049999999999994E-2"/>
    <x v="0"/>
  </r>
  <r>
    <x v="7"/>
    <x v="115"/>
    <n v="9.2099999999999994E-3"/>
    <n v="6.0183799999999996"/>
    <n v="5.6183799999999993"/>
    <x v="7"/>
    <n v="4.6049999999999994E-2"/>
    <x v="0"/>
  </r>
  <r>
    <x v="7"/>
    <x v="115"/>
    <n v="9.2099999999999994E-3"/>
    <n v="6.0183799999999996"/>
    <n v="5.6183799999999993"/>
    <x v="7"/>
    <n v="4.6049999999999994E-2"/>
    <x v="0"/>
  </r>
  <r>
    <x v="7"/>
    <x v="115"/>
    <n v="9.2099999999999994E-3"/>
    <n v="7.8945299999999996"/>
    <n v="7.4945299999999992"/>
    <x v="0"/>
    <n v="6.447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15"/>
    <n v="9.2099999999999994E-3"/>
    <n v="7.2748609999999996"/>
    <n v="6.8748609999999992"/>
    <x v="5"/>
    <n v="5.5259999999999997E-2"/>
    <x v="0"/>
  </r>
  <r>
    <x v="7"/>
    <x v="115"/>
    <n v="9.2099999999999994E-3"/>
    <n v="7.9607539999999997"/>
    <n v="7.5607539999999993"/>
    <x v="0"/>
    <n v="6.447E-2"/>
    <x v="0"/>
  </r>
  <r>
    <x v="7"/>
    <x v="115"/>
    <n v="9.2099999999999994E-3"/>
    <n v="7.20059"/>
    <n v="6.8005899999999997"/>
    <x v="5"/>
    <n v="5.5259999999999997E-2"/>
    <x v="0"/>
  </r>
  <r>
    <x v="7"/>
    <x v="115"/>
    <n v="9.2099999999999994E-3"/>
    <n v="7.2748609999999996"/>
    <n v="6.8748609999999992"/>
    <x v="5"/>
    <n v="5.5259999999999997E-2"/>
    <x v="0"/>
  </r>
  <r>
    <x v="7"/>
    <x v="115"/>
    <n v="9.2099999999999994E-3"/>
    <n v="7.9607539999999997"/>
    <n v="7.5607539999999993"/>
    <x v="0"/>
    <n v="6.447E-2"/>
    <x v="0"/>
  </r>
  <r>
    <x v="7"/>
    <x v="115"/>
    <n v="9.2099999999999994E-3"/>
    <n v="7.20059"/>
    <n v="6.8005899999999997"/>
    <x v="5"/>
    <n v="5.5259999999999997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15"/>
    <n v="9.2099999999999994E-3"/>
    <n v="5.17889"/>
    <n v="4.7788899999999996"/>
    <x v="3"/>
    <n v="3.6839999999999998E-2"/>
    <x v="0"/>
  </r>
  <r>
    <x v="7"/>
    <x v="115"/>
    <n v="9.2099999999999994E-3"/>
    <n v="5.17889"/>
    <n v="4.7788899999999996"/>
    <x v="3"/>
    <n v="3.6839999999999998E-2"/>
    <x v="0"/>
  </r>
  <r>
    <x v="7"/>
    <x v="115"/>
    <n v="9.2099999999999994E-3"/>
    <n v="6.1049899999999999"/>
    <n v="5.7049899999999996"/>
    <x v="7"/>
    <n v="4.6049999999999994E-2"/>
    <x v="0"/>
  </r>
  <r>
    <x v="7"/>
    <x v="115"/>
    <n v="9.2099999999999994E-3"/>
    <n v="6.1049899999999999"/>
    <n v="5.7049899999999996"/>
    <x v="7"/>
    <n v="4.6049999999999994E-2"/>
    <x v="0"/>
  </r>
  <r>
    <x v="7"/>
    <x v="115"/>
    <n v="9.2099999999999994E-3"/>
    <n v="5.0740319999999999"/>
    <n v="4.6740319999999995"/>
    <x v="3"/>
    <n v="3.6839999999999998E-2"/>
    <x v="0"/>
  </r>
  <r>
    <x v="7"/>
    <x v="115"/>
    <n v="9.2099999999999994E-3"/>
    <n v="5.0740319999999999"/>
    <n v="4.6740319999999995"/>
    <x v="3"/>
    <n v="3.6839999999999998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15"/>
    <n v="9.2099999999999994E-3"/>
    <n v="5.17889"/>
    <n v="4.7788899999999996"/>
    <x v="3"/>
    <n v="3.6839999999999998E-2"/>
    <x v="0"/>
  </r>
  <r>
    <x v="7"/>
    <x v="115"/>
    <n v="9.2099999999999994E-3"/>
    <n v="5.17889"/>
    <n v="4.7788899999999996"/>
    <x v="3"/>
    <n v="3.6839999999999998E-2"/>
    <x v="0"/>
  </r>
  <r>
    <x v="7"/>
    <x v="115"/>
    <n v="9.2099999999999994E-3"/>
    <n v="6.1049899999999999"/>
    <n v="5.7049899999999996"/>
    <x v="7"/>
    <n v="4.6049999999999994E-2"/>
    <x v="0"/>
  </r>
  <r>
    <x v="7"/>
    <x v="115"/>
    <n v="9.2099999999999994E-3"/>
    <n v="6.1049899999999999"/>
    <n v="5.7049899999999996"/>
    <x v="7"/>
    <n v="4.6049999999999994E-2"/>
    <x v="0"/>
  </r>
  <r>
    <x v="7"/>
    <x v="115"/>
    <n v="9.2099999999999994E-3"/>
    <n v="5.0740319999999999"/>
    <n v="4.6740319999999995"/>
    <x v="3"/>
    <n v="3.6839999999999998E-2"/>
    <x v="0"/>
  </r>
  <r>
    <x v="7"/>
    <x v="115"/>
    <n v="9.2099999999999994E-3"/>
    <n v="5.0740319999999999"/>
    <n v="4.6740319999999995"/>
    <x v="3"/>
    <n v="3.6839999999999998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15"/>
    <n v="9.2099999999999994E-3"/>
    <n v="7.2748609999999996"/>
    <n v="6.8748609999999992"/>
    <x v="5"/>
    <n v="5.5259999999999997E-2"/>
    <x v="0"/>
  </r>
  <r>
    <x v="7"/>
    <x v="115"/>
    <n v="9.2099999999999994E-3"/>
    <n v="7.2748609999999996"/>
    <n v="6.8748609999999992"/>
    <x v="5"/>
    <n v="5.5259999999999997E-2"/>
    <x v="0"/>
  </r>
  <r>
    <x v="7"/>
    <x v="115"/>
    <n v="9.2099999999999994E-3"/>
    <n v="7.9607539999999997"/>
    <n v="7.5607539999999993"/>
    <x v="0"/>
    <n v="6.447E-2"/>
    <x v="0"/>
  </r>
  <r>
    <x v="7"/>
    <x v="115"/>
    <n v="9.2099999999999994E-3"/>
    <n v="7.9607539999999997"/>
    <n v="7.5607539999999993"/>
    <x v="0"/>
    <n v="6.447E-2"/>
    <x v="0"/>
  </r>
  <r>
    <x v="7"/>
    <x v="115"/>
    <n v="9.2099999999999994E-3"/>
    <n v="7.20059"/>
    <n v="6.8005899999999997"/>
    <x v="5"/>
    <n v="5.5259999999999997E-2"/>
    <x v="0"/>
  </r>
  <r>
    <x v="7"/>
    <x v="115"/>
    <n v="9.2099999999999994E-3"/>
    <n v="7.20059"/>
    <n v="6.8005899999999997"/>
    <x v="5"/>
    <n v="5.5259999999999997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3"/>
    <n v="7.4900000000000001E-3"/>
    <n v="6.492496"/>
    <n v="6.0924959999999997"/>
    <x v="5"/>
    <n v="4.4940000000000001E-2"/>
    <x v="0"/>
  </r>
  <r>
    <x v="7"/>
    <x v="123"/>
    <n v="7.4900000000000001E-3"/>
    <n v="6.492496"/>
    <n v="6.0924959999999997"/>
    <x v="5"/>
    <n v="4.4940000000000001E-2"/>
    <x v="0"/>
  </r>
  <r>
    <x v="7"/>
    <x v="123"/>
    <n v="7.4900000000000001E-3"/>
    <n v="5.5342029999999998"/>
    <n v="5.1342029999999994"/>
    <x v="7"/>
    <n v="3.7449999999999997E-2"/>
    <x v="0"/>
  </r>
  <r>
    <x v="7"/>
    <x v="123"/>
    <n v="7.4900000000000001E-3"/>
    <n v="5.5342029999999998"/>
    <n v="5.1342029999999994"/>
    <x v="7"/>
    <n v="3.7449999999999997E-2"/>
    <x v="0"/>
  </r>
  <r>
    <x v="7"/>
    <x v="123"/>
    <n v="7.4900000000000001E-3"/>
    <n v="8.5959289999999999"/>
    <n v="8.1959289999999996"/>
    <x v="11"/>
    <n v="5.9920000000000001E-2"/>
    <x v="0"/>
  </r>
  <r>
    <x v="7"/>
    <x v="123"/>
    <n v="7.4900000000000001E-3"/>
    <n v="6.4111229999999999"/>
    <n v="6.0111229999999995"/>
    <x v="5"/>
    <n v="4.4940000000000001E-2"/>
    <x v="0"/>
  </r>
  <r>
    <x v="7"/>
    <x v="123"/>
    <n v="7.4900000000000001E-3"/>
    <n v="6.4111229999999999"/>
    <n v="6.0111229999999995"/>
    <x v="5"/>
    <n v="4.4940000000000001E-2"/>
    <x v="0"/>
  </r>
  <r>
    <x v="8"/>
    <x v="124"/>
    <m/>
    <m/>
    <m/>
    <x v="15"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4D6F7-C4D7-400F-9F38-F61F32B03FD6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4:V20" firstHeaderRow="1" firstDataRow="2" firstDataCol="1" rowPageCount="2" colPageCount="1"/>
  <pivotFields count="8">
    <pivotField axis="axisPage" showAll="0">
      <items count="11">
        <item x="6"/>
        <item x="2"/>
        <item x="1"/>
        <item x="5"/>
        <item m="1" x="9"/>
        <item x="7"/>
        <item x="0"/>
        <item x="3"/>
        <item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15">
    <i>
      <x/>
    </i>
    <i>
      <x v="2"/>
    </i>
    <i>
      <x v="4"/>
    </i>
    <i>
      <x v="6"/>
    </i>
    <i>
      <x v="8"/>
    </i>
    <i>
      <x v="10"/>
    </i>
    <i>
      <x v="12"/>
    </i>
    <i>
      <x v="14"/>
    </i>
    <i>
      <x v="16"/>
    </i>
    <i>
      <x v="18"/>
    </i>
    <i>
      <x v="20"/>
    </i>
    <i>
      <x v="22"/>
    </i>
    <i>
      <x v="24"/>
    </i>
    <i>
      <x v="27"/>
    </i>
    <i t="grand">
      <x/>
    </i>
  </rowItems>
  <colFields count="1">
    <field x="1"/>
  </colFields>
  <colItems count="21">
    <i>
      <x v="122"/>
    </i>
    <i>
      <x v="124"/>
    </i>
    <i>
      <x v="171"/>
    </i>
    <i>
      <x v="175"/>
    </i>
    <i>
      <x v="179"/>
    </i>
    <i>
      <x v="182"/>
    </i>
    <i>
      <x v="183"/>
    </i>
    <i>
      <x v="185"/>
    </i>
    <i>
      <x v="186"/>
    </i>
    <i>
      <x v="188"/>
    </i>
    <i>
      <x v="193"/>
    </i>
    <i>
      <x v="200"/>
    </i>
    <i>
      <x v="201"/>
    </i>
    <i>
      <x v="202"/>
    </i>
    <i>
      <x v="207"/>
    </i>
    <i>
      <x v="209"/>
    </i>
    <i>
      <x v="210"/>
    </i>
    <i>
      <x v="211"/>
    </i>
    <i>
      <x v="213"/>
    </i>
    <i>
      <x v="216"/>
    </i>
    <i t="grand">
      <x/>
    </i>
  </colItems>
  <pageFields count="2">
    <pageField fld="0" item="7" hier="-1"/>
    <pageField fld="7" item="1" hier="-1"/>
  </pageFields>
  <dataFields count="1">
    <dataField name="Sum of Total Volume" fld="6" baseField="0" baseItem="0"/>
  </dataFields>
  <chartFormats count="169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6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6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6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6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6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6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6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6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6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6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6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6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6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6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6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6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6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6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6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6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6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6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6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6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6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6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  <chartFormat chart="6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2"/>
          </reference>
        </references>
      </pivotArea>
    </chartFormat>
    <chartFormat chart="6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6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6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8"/>
          </reference>
        </references>
      </pivotArea>
    </chartFormat>
    <chartFormat chart="6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6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0"/>
          </reference>
        </references>
      </pivotArea>
    </chartFormat>
    <chartFormat chart="6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1"/>
          </reference>
        </references>
      </pivotArea>
    </chartFormat>
    <chartFormat chart="6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2"/>
          </reference>
        </references>
      </pivotArea>
    </chartFormat>
    <chartFormat chart="6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0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0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0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0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0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0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  <chartFormat chart="0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2"/>
          </reference>
        </references>
      </pivotArea>
    </chartFormat>
    <chartFormat chart="0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0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0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8"/>
          </reference>
        </references>
      </pivotArea>
    </chartFormat>
    <chartFormat chart="0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0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0"/>
          </reference>
        </references>
      </pivotArea>
    </chartFormat>
    <chartFormat chart="0" format="2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1"/>
          </reference>
        </references>
      </pivotArea>
    </chartFormat>
    <chartFormat chart="0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2"/>
          </reference>
        </references>
      </pivotArea>
    </chartFormat>
    <chartFormat chart="0" format="2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6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  <chartFormat chart="0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E7351D-F077-4E86-952B-8D8360B73E3B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4:D11" firstHeaderRow="1" firstDataRow="2" firstDataCol="1" rowPageCount="2" colPageCount="1"/>
  <pivotFields count="8">
    <pivotField axis="axisPage" showAll="0">
      <items count="11">
        <item x="6"/>
        <item x="2"/>
        <item x="1"/>
        <item x="5"/>
        <item m="1" x="9"/>
        <item x="7"/>
        <item x="0"/>
        <item x="3"/>
        <item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6">
    <i>
      <x v="8"/>
    </i>
    <i>
      <x v="12"/>
    </i>
    <i>
      <x v="14"/>
    </i>
    <i>
      <x v="16"/>
    </i>
    <i>
      <x v="18"/>
    </i>
    <i t="grand">
      <x/>
    </i>
  </rowItems>
  <colFields count="1">
    <field x="1"/>
  </colFields>
  <colItems count="3">
    <i>
      <x v="170"/>
    </i>
    <i>
      <x v="206"/>
    </i>
    <i t="grand">
      <x/>
    </i>
  </colItems>
  <pageFields count="2">
    <pageField fld="0" item="0" hier="-1"/>
    <pageField fld="7" item="1" hier="-1"/>
  </pageFields>
  <dataFields count="1">
    <dataField name="Sum of Total Volume" fld="6" baseField="0" baseItem="0"/>
  </dataFields>
  <chartFormats count="159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8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2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2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54EA42-E468-4092-976C-39F0EAD786DB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4:I15" firstHeaderRow="1" firstDataRow="2" firstDataCol="1" rowPageCount="2" colPageCount="1"/>
  <pivotFields count="8">
    <pivotField axis="axisPage" multipleItemSelectionAllowed="1" showAll="0">
      <items count="11">
        <item h="1" x="6"/>
        <item h="1" x="2"/>
        <item h="1" x="1"/>
        <item x="5"/>
        <item h="1" m="1" x="9"/>
        <item x="7"/>
        <item h="1" x="0"/>
        <item h="1" x="3"/>
        <item h="1" x="8"/>
        <item h="1"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10">
    <i>
      <x/>
    </i>
    <i>
      <x v="4"/>
    </i>
    <i>
      <x v="6"/>
    </i>
    <i>
      <x v="8"/>
    </i>
    <i>
      <x v="10"/>
    </i>
    <i>
      <x v="12"/>
    </i>
    <i>
      <x v="14"/>
    </i>
    <i>
      <x v="16"/>
    </i>
    <i>
      <x v="18"/>
    </i>
    <i t="grand">
      <x/>
    </i>
  </rowItems>
  <colFields count="1">
    <field x="1"/>
  </colFields>
  <colItems count="8">
    <i>
      <x v="165"/>
    </i>
    <i>
      <x v="218"/>
    </i>
    <i>
      <x v="221"/>
    </i>
    <i>
      <x v="223"/>
    </i>
    <i>
      <x v="224"/>
    </i>
    <i>
      <x v="226"/>
    </i>
    <i>
      <x v="227"/>
    </i>
    <i t="grand">
      <x/>
    </i>
  </colItems>
  <pageFields count="2">
    <pageField fld="0" hier="-1"/>
    <pageField fld="7" item="1" hier="-1"/>
  </pageFields>
  <dataFields count="1">
    <dataField name="Sum of Total Volume" fld="6" baseField="0" baseItem="0"/>
  </dataFields>
  <chartFormats count="17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1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1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1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7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7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7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7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7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1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1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1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1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1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1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1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1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1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246F66-53AD-4EDB-B43D-14E8576E3BB4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4:C13" firstHeaderRow="1" firstDataRow="2" firstDataCol="1" rowPageCount="2" colPageCount="1"/>
  <pivotFields count="8">
    <pivotField axis="axisPage" showAll="0">
      <items count="11">
        <item x="6"/>
        <item x="2"/>
        <item x="1"/>
        <item x="5"/>
        <item m="1" x="9"/>
        <item x="7"/>
        <item x="0"/>
        <item x="3"/>
        <item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8">
    <i>
      <x/>
    </i>
    <i>
      <x v="4"/>
    </i>
    <i>
      <x v="6"/>
    </i>
    <i>
      <x v="8"/>
    </i>
    <i>
      <x v="10"/>
    </i>
    <i>
      <x v="12"/>
    </i>
    <i>
      <x v="14"/>
    </i>
    <i t="grand">
      <x/>
    </i>
  </rowItems>
  <colFields count="1">
    <field x="1"/>
  </colFields>
  <colItems count="2">
    <i>
      <x v="165"/>
    </i>
    <i t="grand">
      <x/>
    </i>
  </colItems>
  <pageFields count="2">
    <pageField fld="0" item="3" hier="-1"/>
    <pageField fld="7" item="1" hier="-1"/>
  </pageFields>
  <dataFields count="1">
    <dataField name="Sum of Total Volume" fld="6" baseField="0" baseItem="0"/>
  </dataFields>
  <chartFormats count="169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4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4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4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4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4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4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4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62FD24-B72B-4AE1-B734-94D8817A3F4D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4:H11" firstHeaderRow="1" firstDataRow="2" firstDataCol="1" rowPageCount="2" colPageCount="1"/>
  <pivotFields count="8">
    <pivotField axis="axisPage" multipleItemSelectionAllowed="1" showAll="0">
      <items count="11">
        <item h="1" x="6"/>
        <item x="2"/>
        <item h="1" x="1"/>
        <item h="1" x="5"/>
        <item m="1" x="9"/>
        <item h="1" x="7"/>
        <item h="1" x="0"/>
        <item h="1" x="3"/>
        <item h="1"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6">
    <i>
      <x/>
    </i>
    <i>
      <x v="2"/>
    </i>
    <i>
      <x v="4"/>
    </i>
    <i>
      <x v="6"/>
    </i>
    <i>
      <x v="14"/>
    </i>
    <i t="grand">
      <x/>
    </i>
  </rowItems>
  <colFields count="1">
    <field x="1"/>
  </colFields>
  <colItems count="7">
    <i>
      <x v="147"/>
    </i>
    <i>
      <x v="148"/>
    </i>
    <i>
      <x v="157"/>
    </i>
    <i>
      <x v="158"/>
    </i>
    <i>
      <x v="159"/>
    </i>
    <i>
      <x v="164"/>
    </i>
    <i t="grand">
      <x/>
    </i>
  </colItems>
  <pageFields count="2">
    <pageField fld="0" hier="-1"/>
    <pageField fld="7" item="1" hier="-1"/>
  </pageFields>
  <dataFields count="1">
    <dataField name="Sum of Total Volume" fld="6" baseField="0" baseItem="0"/>
  </dataFields>
  <chartFormats count="200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5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5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5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5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5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5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5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5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5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2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8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8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8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8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8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8" format="2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7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5" format="2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5" format="2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5" format="2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5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5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5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5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5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5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8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8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8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8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8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8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8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8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8" format="2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8" format="2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8" format="2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  <chartFormat chart="5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E09A62-99F0-446E-9445-09DE4D7ADF34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AS18" firstHeaderRow="1" firstDataRow="2" firstDataCol="1" rowPageCount="2" colPageCount="1"/>
  <pivotFields count="8">
    <pivotField axis="axisPage" showAll="0">
      <items count="11">
        <item x="6"/>
        <item x="2"/>
        <item x="1"/>
        <item x="5"/>
        <item m="1" x="9"/>
        <item x="7"/>
        <item x="0"/>
        <item x="3"/>
        <item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13">
    <i>
      <x/>
    </i>
    <i>
      <x v="2"/>
    </i>
    <i>
      <x v="4"/>
    </i>
    <i>
      <x v="6"/>
    </i>
    <i>
      <x v="8"/>
    </i>
    <i>
      <x v="10"/>
    </i>
    <i>
      <x v="12"/>
    </i>
    <i>
      <x v="14"/>
    </i>
    <i>
      <x v="16"/>
    </i>
    <i>
      <x v="18"/>
    </i>
    <i>
      <x v="20"/>
    </i>
    <i>
      <x v="22"/>
    </i>
    <i t="grand">
      <x/>
    </i>
  </rowItems>
  <colFields count="1">
    <field x="1"/>
  </colFields>
  <colItems count="44"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6"/>
    </i>
    <i>
      <x v="118"/>
    </i>
    <i>
      <x v="125"/>
    </i>
    <i>
      <x v="127"/>
    </i>
    <i>
      <x v="128"/>
    </i>
    <i>
      <x v="129"/>
    </i>
    <i>
      <x v="130"/>
    </i>
    <i>
      <x v="131"/>
    </i>
    <i>
      <x v="132"/>
    </i>
    <i>
      <x v="134"/>
    </i>
    <i>
      <x v="137"/>
    </i>
    <i>
      <x v="138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61"/>
    </i>
    <i>
      <x v="173"/>
    </i>
    <i>
      <x v="174"/>
    </i>
    <i>
      <x v="177"/>
    </i>
    <i>
      <x v="181"/>
    </i>
    <i>
      <x v="184"/>
    </i>
    <i>
      <x v="189"/>
    </i>
    <i>
      <x v="192"/>
    </i>
    <i t="grand">
      <x/>
    </i>
  </colItems>
  <pageFields count="2">
    <pageField fld="0" item="6" hier="-1"/>
    <pageField fld="7" item="1" hier="-1"/>
  </pageFields>
  <dataFields count="1">
    <dataField name="Sum of Total Volume" fld="6" baseField="6" baseItem="11"/>
  </dataFields>
  <chartFormats count="316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1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1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1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1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1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1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1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1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1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1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1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1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1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1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1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1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1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1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1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1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1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1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1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1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1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1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1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1" format="2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1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1" format="2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1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1" format="2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1" format="2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1" format="2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1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1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1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1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1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1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1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1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1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1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1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1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1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1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1" format="29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4" format="3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4" format="3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4" format="3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4" format="3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4" format="3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4" format="3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4" format="3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4" format="3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4" format="3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4" format="3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4" format="3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4" format="3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4" format="3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4" format="3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4" format="3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4" format="3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4" format="3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4" format="3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4" format="3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4" format="3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4" format="3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4" format="3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4" format="3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4" format="3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4" format="3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4" format="3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4" format="3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4" format="3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4" format="3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4" format="3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4" format="3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4" format="3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4" format="3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4" format="3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4" format="3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4" format="3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4" format="3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4"/>
          </reference>
        </references>
      </pivotArea>
    </chartFormat>
    <chartFormat chart="4" format="3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4" format="3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4" format="3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4" format="3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4" format="3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4" format="3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4" format="3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4" format="3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4" format="3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4" format="3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4" format="3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4" format="3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4" format="3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4" format="3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4" format="3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4" format="3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4" format="3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4" format="3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4" format="3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4" format="3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4" format="3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4" format="3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4" format="3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4" format="3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4" format="3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4" format="3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4" format="3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4" format="3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4" format="3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4" format="3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4" format="3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4" format="3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4" format="3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1" format="2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1" format="2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1" format="3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1" format="3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1" format="3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1" format="3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1" format="3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1" format="3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1" format="3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4"/>
          </reference>
        </references>
      </pivotArea>
    </chartFormat>
    <chartFormat chart="1" format="3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1" format="3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1" format="3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1" format="3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1" format="4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1" format="4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1" format="4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4" format="3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4" format="3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4" format="4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1"/>
          </reference>
        </references>
      </pivotArea>
    </chartFormat>
    <chartFormat chart="4" format="4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9"/>
          </reference>
        </references>
      </pivotArea>
    </chartFormat>
    <chartFormat chart="4" format="4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2"/>
          </reference>
        </references>
      </pivotArea>
    </chartFormat>
    <chartFormat chart="1" format="4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1" format="4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1" format="4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1"/>
          </reference>
        </references>
      </pivotArea>
    </chartFormat>
    <chartFormat chart="1" format="4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9"/>
          </reference>
        </references>
      </pivotArea>
    </chartFormat>
    <chartFormat chart="1" format="4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2"/>
          </reference>
        </references>
      </pivotArea>
    </chartFormat>
    <chartFormat chart="4" format="4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1" format="4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145F9-BE1C-4052-B12B-69CE06DED828}">
  <sheetPr codeName="Sheet2"/>
  <dimension ref="A1:C4"/>
  <sheetViews>
    <sheetView workbookViewId="0"/>
  </sheetViews>
  <sheetFormatPr defaultRowHeight="14.25" x14ac:dyDescent="0.25"/>
  <sheetData>
    <row r="1" spans="1:3" x14ac:dyDescent="0.25">
      <c r="A1" t="s">
        <v>0</v>
      </c>
    </row>
    <row r="2" spans="1:3" x14ac:dyDescent="0.25">
      <c r="A2" t="s">
        <v>1</v>
      </c>
      <c r="B2" t="s">
        <v>119</v>
      </c>
      <c r="C2" t="s">
        <v>2</v>
      </c>
    </row>
    <row r="3" spans="1:3" x14ac:dyDescent="0.25">
      <c r="A3" t="s">
        <v>3</v>
      </c>
      <c r="B3" t="s">
        <v>120</v>
      </c>
      <c r="C3" t="s">
        <v>4</v>
      </c>
    </row>
    <row r="4" spans="1:3" x14ac:dyDescent="0.25">
      <c r="A4" t="s">
        <v>5</v>
      </c>
      <c r="B4" t="s">
        <v>121</v>
      </c>
      <c r="C4" t="s">
        <v>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F292D-3B6B-40A2-8247-CF73083A1A9D}">
  <sheetPr codeName="Sheet1">
    <tabColor theme="9" tint="0.59999389629810485"/>
  </sheetPr>
  <dimension ref="A1:AT56"/>
  <sheetViews>
    <sheetView showGridLines="0" tabSelected="1" showRuler="0" view="pageLayout" zoomScale="80" zoomScaleNormal="100" zoomScaleSheetLayoutView="100" zoomScalePageLayoutView="80" workbookViewId="0">
      <selection activeCell="E3" sqref="E3:E4"/>
    </sheetView>
  </sheetViews>
  <sheetFormatPr defaultColWidth="4.5703125" defaultRowHeight="12" x14ac:dyDescent="0.2"/>
  <cols>
    <col min="1" max="18" width="4.5703125" style="4"/>
    <col min="19" max="19" width="4.5703125" style="4" customWidth="1"/>
    <col min="20" max="16384" width="4.5703125" style="4"/>
  </cols>
  <sheetData>
    <row r="1" spans="1:46" ht="15" customHeight="1" x14ac:dyDescent="0.2">
      <c r="B1" s="20" t="s">
        <v>7</v>
      </c>
      <c r="C1" s="20"/>
      <c r="D1" s="20"/>
      <c r="E1" s="20"/>
      <c r="F1" s="20"/>
    </row>
    <row r="2" spans="1:46" x14ac:dyDescent="0.2">
      <c r="C2" s="10"/>
      <c r="D2" s="10"/>
      <c r="E2" s="10"/>
    </row>
    <row r="3" spans="1:46" ht="14.25" customHeight="1" x14ac:dyDescent="0.2">
      <c r="B3" s="22" t="s">
        <v>8</v>
      </c>
      <c r="C3" s="22"/>
      <c r="D3" s="22"/>
      <c r="E3" s="23">
        <v>0.2</v>
      </c>
      <c r="F3" s="21" t="s">
        <v>9</v>
      </c>
    </row>
    <row r="4" spans="1:46" x14ac:dyDescent="0.2">
      <c r="B4" s="22"/>
      <c r="C4" s="22"/>
      <c r="D4" s="22"/>
      <c r="E4" s="23"/>
      <c r="F4" s="21"/>
    </row>
    <row r="6" spans="1:46" x14ac:dyDescent="0.2">
      <c r="B6" s="22" t="s">
        <v>10</v>
      </c>
      <c r="C6" s="22"/>
      <c r="D6" s="22"/>
      <c r="E6" s="23">
        <v>1</v>
      </c>
      <c r="F6" s="21" t="s">
        <v>9</v>
      </c>
    </row>
    <row r="7" spans="1:46" x14ac:dyDescent="0.2">
      <c r="B7" s="22"/>
      <c r="C7" s="22"/>
      <c r="D7" s="22"/>
      <c r="E7" s="23"/>
      <c r="F7" s="21"/>
    </row>
    <row r="9" spans="1:46" x14ac:dyDescent="0.2">
      <c r="B9" s="22" t="s">
        <v>11</v>
      </c>
      <c r="C9" s="22"/>
      <c r="D9" s="22"/>
      <c r="E9" s="23">
        <v>10</v>
      </c>
      <c r="F9" s="21" t="s">
        <v>12</v>
      </c>
    </row>
    <row r="10" spans="1:46" x14ac:dyDescent="0.2">
      <c r="B10" s="22"/>
      <c r="C10" s="22"/>
      <c r="D10" s="22"/>
      <c r="E10" s="23"/>
      <c r="F10" s="21"/>
    </row>
    <row r="13" spans="1:46" ht="15" customHeight="1" x14ac:dyDescent="0.2"/>
    <row r="14" spans="1:46" ht="13.15" customHeight="1" x14ac:dyDescent="0.2">
      <c r="A14" s="14"/>
      <c r="B14" s="14"/>
      <c r="C14" s="14"/>
      <c r="D14" s="14"/>
      <c r="E14" s="14"/>
      <c r="F14" s="14"/>
      <c r="G14" s="14"/>
      <c r="AT14" s="9"/>
    </row>
    <row r="15" spans="1:46" x14ac:dyDescent="0.2">
      <c r="A15" s="14"/>
      <c r="B15" s="14"/>
      <c r="C15" s="14"/>
      <c r="D15" s="14"/>
      <c r="E15" s="14"/>
      <c r="F15" s="14"/>
      <c r="G15" s="14"/>
      <c r="AT15" s="9"/>
    </row>
    <row r="16" spans="1:46" x14ac:dyDescent="0.2">
      <c r="AT16" s="9"/>
    </row>
    <row r="17" spans="1:46" x14ac:dyDescent="0.2">
      <c r="AT17" s="9"/>
    </row>
    <row r="18" spans="1:46" x14ac:dyDescent="0.2">
      <c r="AT18" s="9"/>
    </row>
    <row r="19" spans="1:46" x14ac:dyDescent="0.2">
      <c r="AT19" s="9"/>
    </row>
    <row r="20" spans="1:46" x14ac:dyDescent="0.2">
      <c r="AT20" s="9"/>
    </row>
    <row r="21" spans="1:46" x14ac:dyDescent="0.2">
      <c r="AT21" s="9"/>
    </row>
    <row r="22" spans="1:46" x14ac:dyDescent="0.2">
      <c r="AT22" s="9"/>
    </row>
    <row r="23" spans="1:46" x14ac:dyDescent="0.2">
      <c r="AT23" s="9"/>
    </row>
    <row r="24" spans="1:46" x14ac:dyDescent="0.2">
      <c r="AT24" s="9"/>
    </row>
    <row r="25" spans="1:46" ht="12" customHeight="1" x14ac:dyDescent="0.2">
      <c r="AT25" s="9"/>
    </row>
    <row r="26" spans="1:46" x14ac:dyDescent="0.2">
      <c r="AT26" s="9"/>
    </row>
    <row r="27" spans="1:46" x14ac:dyDescent="0.2">
      <c r="AT27" s="9"/>
    </row>
    <row r="28" spans="1:46" x14ac:dyDescent="0.2">
      <c r="A28" s="11"/>
      <c r="B28" s="11"/>
      <c r="C28" s="11"/>
      <c r="D28" s="11"/>
      <c r="E28" s="11"/>
    </row>
    <row r="29" spans="1:46" x14ac:dyDescent="0.2">
      <c r="A29" s="11"/>
      <c r="B29" s="11"/>
      <c r="C29" s="11"/>
      <c r="D29" s="11"/>
      <c r="E29" s="11"/>
    </row>
    <row r="30" spans="1:46" ht="14.25" customHeight="1" x14ac:dyDescent="0.2">
      <c r="A30" s="12"/>
    </row>
    <row r="31" spans="1:46" x14ac:dyDescent="0.2">
      <c r="A31" s="12"/>
    </row>
    <row r="32" spans="1:46" x14ac:dyDescent="0.2">
      <c r="A32" s="12"/>
    </row>
    <row r="33" spans="1:46" x14ac:dyDescent="0.2">
      <c r="A33" s="12"/>
    </row>
    <row r="34" spans="1:46" x14ac:dyDescent="0.2">
      <c r="A34" s="12"/>
    </row>
    <row r="35" spans="1:46" x14ac:dyDescent="0.2">
      <c r="A35" s="12"/>
    </row>
    <row r="36" spans="1:46" x14ac:dyDescent="0.2">
      <c r="A36" s="12"/>
    </row>
    <row r="37" spans="1:46" x14ac:dyDescent="0.2">
      <c r="A37" s="12"/>
    </row>
    <row r="38" spans="1:46" x14ac:dyDescent="0.2">
      <c r="A38" s="12"/>
    </row>
    <row r="39" spans="1:46" ht="12" customHeight="1" x14ac:dyDescent="0.2">
      <c r="A39" s="12"/>
    </row>
    <row r="40" spans="1:46" x14ac:dyDescent="0.2">
      <c r="A40" s="12"/>
    </row>
    <row r="41" spans="1:46" x14ac:dyDescent="0.2">
      <c r="A41" s="11"/>
      <c r="AT41" s="9"/>
    </row>
    <row r="42" spans="1:46" x14ac:dyDescent="0.2">
      <c r="A42" s="11"/>
      <c r="AT42" s="9"/>
    </row>
    <row r="43" spans="1:46" x14ac:dyDescent="0.2">
      <c r="A43" s="11"/>
      <c r="AT43" s="9"/>
    </row>
    <row r="44" spans="1:46" x14ac:dyDescent="0.2">
      <c r="AT44" s="9"/>
    </row>
    <row r="45" spans="1:46" x14ac:dyDescent="0.2">
      <c r="AT45" s="9"/>
    </row>
    <row r="46" spans="1:46" x14ac:dyDescent="0.2">
      <c r="AT46" s="9"/>
    </row>
    <row r="47" spans="1:46" x14ac:dyDescent="0.2">
      <c r="AT47" s="9"/>
    </row>
    <row r="48" spans="1:46" x14ac:dyDescent="0.2">
      <c r="AT48" s="9"/>
    </row>
    <row r="49" spans="8:46" x14ac:dyDescent="0.2">
      <c r="AT49" s="9"/>
    </row>
    <row r="50" spans="8:46" x14ac:dyDescent="0.2">
      <c r="AT50" s="9"/>
    </row>
    <row r="51" spans="8:46" x14ac:dyDescent="0.2">
      <c r="AT51" s="9"/>
    </row>
    <row r="52" spans="8:46" x14ac:dyDescent="0.2">
      <c r="AT52" s="9"/>
    </row>
    <row r="53" spans="8:46" x14ac:dyDescent="0.2">
      <c r="AT53" s="9"/>
    </row>
    <row r="54" spans="8:46" x14ac:dyDescent="0.2">
      <c r="AT54" s="9"/>
    </row>
    <row r="56" spans="8:46" x14ac:dyDescent="0.2"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</row>
  </sheetData>
  <mergeCells count="10">
    <mergeCell ref="B1:F1"/>
    <mergeCell ref="F9:F10"/>
    <mergeCell ref="B3:D4"/>
    <mergeCell ref="E3:E4"/>
    <mergeCell ref="F3:F4"/>
    <mergeCell ref="B6:D7"/>
    <mergeCell ref="E6:E7"/>
    <mergeCell ref="F6:F7"/>
    <mergeCell ref="B9:D10"/>
    <mergeCell ref="E9:E10"/>
  </mergeCells>
  <pageMargins left="0.39370078740157483" right="0.39370078740157483" top="1.1811023622047245" bottom="0.78740157480314965" header="0.39370078740157483" footer="0.39370078740157483"/>
  <pageSetup paperSize="8" orientation="landscape" r:id="rId1"/>
  <headerFooter scaleWithDoc="0">
    <oddHeader>&amp;L&amp;G&amp;Casdfadsfadsfs&amp;R&amp;D
Created by: M Ruckert
Checked by: D Tringale</oddHeader>
    <oddFooter>&amp;L&amp;6
COPYRIGHT © 1976-2020 BURO HAPPOLD. ALL RIGHTS RESERVED&amp;RPage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RefreshPivotTables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C6E58-CA35-479B-B637-A6E0682FF96D}">
  <sheetPr codeName="Sheet3">
    <tabColor theme="6" tint="0.39997558519241921"/>
  </sheetPr>
  <dimension ref="A1:E1"/>
  <sheetViews>
    <sheetView workbookViewId="0"/>
  </sheetViews>
  <sheetFormatPr defaultRowHeight="14.25" x14ac:dyDescent="0.25"/>
  <cols>
    <col min="1" max="1" width="13.28515625" bestFit="1" customWidth="1"/>
    <col min="2" max="2" width="20.28515625" bestFit="1" customWidth="1"/>
    <col min="3" max="3" width="12" style="1" bestFit="1" customWidth="1"/>
    <col min="4" max="4" width="12.28515625" style="1" bestFit="1" customWidth="1"/>
    <col min="5" max="5" width="14.140625" bestFit="1" customWidth="1"/>
  </cols>
  <sheetData>
    <row r="1" spans="1:5" ht="15" thickBot="1" x14ac:dyDescent="0.3">
      <c r="A1" s="16" t="s">
        <v>13</v>
      </c>
      <c r="B1" s="17" t="s">
        <v>14</v>
      </c>
      <c r="C1" s="18" t="s">
        <v>15</v>
      </c>
      <c r="D1" s="18" t="s">
        <v>16</v>
      </c>
      <c r="E1" s="19" t="s">
        <v>118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C48B5-100A-435B-A616-431303BB937E}">
  <sheetPr codeName="Sheet4">
    <tabColor theme="6" tint="0.39997558519241921"/>
  </sheetPr>
  <dimension ref="A1:R13"/>
  <sheetViews>
    <sheetView zoomScaleNormal="100" workbookViewId="0">
      <pane ySplit="42" topLeftCell="A70" activePane="bottomLeft" state="frozen"/>
      <selection pane="bottomLeft" activeCell="A2" sqref="A2"/>
    </sheetView>
  </sheetViews>
  <sheetFormatPr defaultRowHeight="14.25" x14ac:dyDescent="0.25"/>
  <cols>
    <col min="1" max="7" width="16.42578125" style="1" customWidth="1"/>
    <col min="8" max="8" width="12" style="1" bestFit="1" customWidth="1"/>
    <col min="9" max="9" width="18.85546875" style="1" bestFit="1" customWidth="1"/>
    <col min="10" max="10" width="5.7109375" customWidth="1"/>
    <col min="11" max="12" width="16.7109375" style="1" bestFit="1" customWidth="1"/>
    <col min="13" max="13" width="15.7109375" style="1" bestFit="1" customWidth="1"/>
    <col min="14" max="14" width="5.7109375" customWidth="1"/>
    <col min="15" max="15" width="18.140625" bestFit="1" customWidth="1"/>
    <col min="16" max="16" width="16.7109375" bestFit="1" customWidth="1"/>
    <col min="17" max="17" width="5.7109375" customWidth="1"/>
    <col min="18" max="18" width="15.7109375" bestFit="1" customWidth="1"/>
    <col min="19" max="19" width="16.7109375" bestFit="1" customWidth="1"/>
    <col min="20" max="20" width="11.42578125" bestFit="1" customWidth="1"/>
    <col min="21" max="21" width="16.7109375" bestFit="1" customWidth="1"/>
    <col min="22" max="23" width="15.7109375" bestFit="1" customWidth="1"/>
    <col min="24" max="26" width="16.7109375" bestFit="1" customWidth="1"/>
    <col min="27" max="27" width="15.7109375" bestFit="1" customWidth="1"/>
    <col min="28" max="32" width="14.140625" bestFit="1" customWidth="1"/>
    <col min="33" max="33" width="10.85546875" bestFit="1" customWidth="1"/>
    <col min="34" max="34" width="16.7109375" bestFit="1" customWidth="1"/>
    <col min="35" max="39" width="14.140625" bestFit="1" customWidth="1"/>
    <col min="40" max="42" width="15.140625" bestFit="1" customWidth="1"/>
    <col min="43" max="44" width="14.140625" bestFit="1" customWidth="1"/>
    <col min="45" max="45" width="10.85546875" bestFit="1" customWidth="1"/>
    <col min="46" max="47" width="16.85546875" bestFit="1" customWidth="1"/>
    <col min="48" max="48" width="11.85546875" bestFit="1" customWidth="1"/>
    <col min="49" max="56" width="14.140625" bestFit="1" customWidth="1"/>
    <col min="57" max="62" width="15.140625" bestFit="1" customWidth="1"/>
    <col min="63" max="63" width="14.140625" bestFit="1" customWidth="1"/>
    <col min="64" max="64" width="10.85546875" bestFit="1" customWidth="1"/>
    <col min="65" max="71" width="14.140625" bestFit="1" customWidth="1"/>
    <col min="72" max="76" width="15.140625" bestFit="1" customWidth="1"/>
    <col min="77" max="83" width="14.140625" bestFit="1" customWidth="1"/>
    <col min="84" max="84" width="11.85546875" bestFit="1" customWidth="1"/>
    <col min="85" max="85" width="16.85546875" bestFit="1" customWidth="1"/>
    <col min="86" max="96" width="14.140625" bestFit="1" customWidth="1"/>
    <col min="97" max="99" width="15.140625" bestFit="1" customWidth="1"/>
    <col min="100" max="101" width="14.140625" bestFit="1" customWidth="1"/>
    <col min="102" max="115" width="15.140625" bestFit="1" customWidth="1"/>
    <col min="116" max="116" width="8.7109375" bestFit="1" customWidth="1"/>
    <col min="117" max="117" width="7.28515625" bestFit="1" customWidth="1"/>
    <col min="118" max="118" width="11.42578125" bestFit="1" customWidth="1"/>
    <col min="119" max="223" width="22.85546875" bestFit="1" customWidth="1"/>
    <col min="224" max="224" width="25.5703125" bestFit="1" customWidth="1"/>
    <col min="225" max="225" width="28.140625" bestFit="1" customWidth="1"/>
  </cols>
  <sheetData>
    <row r="1" spans="1:18" s="3" customFormat="1" x14ac:dyDescent="0.25">
      <c r="A1" s="6" t="str" cm="1">
        <f t="array" ref="A1">_xlfn._xlws.FILTER(Inputs!A:A,ISBLANK(Inputs!A:A)=FALSE)</f>
        <v>Section Family</v>
      </c>
      <c r="B1" s="6" t="str" cm="1">
        <f t="array" ref="B1">_xlfn._xlws.FILTER(Inputs!B:B,ISBLANK(Inputs!B:B)=FALSE)</f>
        <v>Section Name</v>
      </c>
      <c r="C1" s="6" t="str" cm="1">
        <f t="array" ref="C1">_xlfn._xlws.FILTER(Inputs!C:C,ISBLANK(Inputs!C:C)=FALSE)</f>
        <v>Section Area</v>
      </c>
      <c r="D1" s="6" t="str" cm="1">
        <f t="array" ref="D1">_xlfn._xlws.FILTER(Inputs!D:D,ISBLANK(Inputs!D:D)=FALSE)</f>
        <v>Total Length</v>
      </c>
      <c r="E1" s="6" t="str" cm="1">
        <f t="array" ref="E1">IFERROR(IF(_xlfn.ANCHORARRAY(D1)-2*'Steel Reuse Dashboard'!$E$3&lt;0,0,_xlfn.ANCHORARRAY(D1)-2*'Steel Reuse Dashboard'!$E$3),"Including Cutoff")</f>
        <v>Including Cutoff</v>
      </c>
      <c r="F1" s="6" t="str" cm="1">
        <f t="array" ref="F1">IFERROR(_xlfn.FLOOR.MATH(_xlfn.ANCHORARRAY(E1),'Steel Reuse Dashboard'!$E$6),"Rounded Length")</f>
        <v>Rounded Length</v>
      </c>
      <c r="G1" s="6" t="str" cm="1">
        <f t="array" ref="G1">IFERROR(_xlfn.ANCHORARRAY(F1)*_xlfn.ANCHORARRAY(C1),"Total Volume")</f>
        <v>Total Volume</v>
      </c>
      <c r="H1" s="6" t="str" cm="1">
        <f t="array" ref="H1">INDEX(_xlfn.ANCHORARRAY(M1),MATCH(_xlfn.ANCHORARRAY(B1),_xlfn.ANCHORARRAY(K1),0))</f>
        <v>Plot</v>
      </c>
      <c r="I1" s="6" t="str" cm="1">
        <f t="array" ref="I1">_xlfn._xlws.FILTER(Inputs!E:E,ISBLANK(Inputs!E:E)=FALSE)</f>
        <v>Reuse Strategy</v>
      </c>
      <c r="K1" s="6" t="str" cm="1">
        <f t="array" ref="K1:K2">_xlfn.UNIQUE(Inputs!B:B)</f>
        <v>Section Name</v>
      </c>
      <c r="L1" s="6" t="str" cm="1">
        <f t="array" ref="L1:L2">IF(ROW(_xlfn.ANCHORARRAY(K1))=1,"Count",COUNTIF(B:B,_xlfn.ANCHORARRAY(K1)))</f>
        <v>Count</v>
      </c>
      <c r="M1" s="6" t="str" cm="1">
        <f t="array" ref="M1:M2">IF(ROW(_xlfn.ANCHORARRAY(K1))=1,"Plot",IF(_xlfn.ANCHORARRAY(L1)&lt;='Steel Reuse Dashboard'!$E$9,"NO","YES"))</f>
        <v>Plot</v>
      </c>
      <c r="O1" s="24" t="s">
        <v>99</v>
      </c>
      <c r="P1" s="24"/>
    </row>
    <row r="2" spans="1:18" x14ac:dyDescent="0.25">
      <c r="K2" s="1">
        <v>0</v>
      </c>
      <c r="L2" s="1">
        <v>0</v>
      </c>
      <c r="M2" s="1" t="str">
        <v>NO</v>
      </c>
      <c r="O2" s="1" t="s">
        <v>100</v>
      </c>
      <c r="P2" s="5">
        <f>SUMIF(_xlfn.ANCHORARRAY($H$1),"YES",_xlfn.ANCHORARRAY($G$1))</f>
        <v>0</v>
      </c>
    </row>
    <row r="3" spans="1:18" x14ac:dyDescent="0.25">
      <c r="O3" s="1" t="s">
        <v>101</v>
      </c>
      <c r="P3" s="5">
        <f>SUMIF(_xlfn.ANCHORARRAY($H$1),"NO",_xlfn.ANCHORARRAY($G$1))</f>
        <v>0</v>
      </c>
    </row>
    <row r="5" spans="1:18" x14ac:dyDescent="0.25">
      <c r="O5" s="24" t="s">
        <v>102</v>
      </c>
      <c r="P5" s="24"/>
      <c r="Q5" s="3"/>
      <c r="R5" s="13" t="s">
        <v>103</v>
      </c>
    </row>
    <row r="6" spans="1:18" x14ac:dyDescent="0.25">
      <c r="O6" s="1" t="s">
        <v>104</v>
      </c>
      <c r="P6" s="5">
        <f>P8-P7</f>
        <v>0</v>
      </c>
      <c r="R6" s="1" t="s">
        <v>105</v>
      </c>
    </row>
    <row r="7" spans="1:18" x14ac:dyDescent="0.25">
      <c r="O7" s="1" t="s">
        <v>106</v>
      </c>
      <c r="P7" s="5">
        <f>SUMIF(_xlfn.ANCHORARRAY($A$1),"NA",_xlfn.ANCHORARRAY($D$1))</f>
        <v>0</v>
      </c>
      <c r="R7" s="2"/>
    </row>
    <row r="8" spans="1:18" x14ac:dyDescent="0.25">
      <c r="O8" s="1" t="s">
        <v>107</v>
      </c>
      <c r="P8" s="5">
        <f>SUM(_xlfn.ANCHORARRAY(D1))</f>
        <v>0</v>
      </c>
    </row>
    <row r="10" spans="1:18" x14ac:dyDescent="0.25">
      <c r="O10" s="24" t="s">
        <v>108</v>
      </c>
      <c r="P10" s="24"/>
    </row>
    <row r="11" spans="1:18" x14ac:dyDescent="0.25">
      <c r="O11" s="1" t="s">
        <v>109</v>
      </c>
      <c r="P11" s="5">
        <f>SUMIF(I:I,"YES",G:G)</f>
        <v>0</v>
      </c>
    </row>
    <row r="12" spans="1:18" x14ac:dyDescent="0.25">
      <c r="O12" s="1" t="s">
        <v>110</v>
      </c>
      <c r="P12" s="5">
        <f>P13-P11</f>
        <v>0</v>
      </c>
    </row>
    <row r="13" spans="1:18" x14ac:dyDescent="0.25">
      <c r="O13" s="1" t="s">
        <v>111</v>
      </c>
      <c r="P13" s="5">
        <f>SUM(G:G)-SUMIF(A:A,"NA",G:G)</f>
        <v>0</v>
      </c>
    </row>
  </sheetData>
  <autoFilter ref="A1:I4106" xr:uid="{5A8C48B5-100A-435B-A616-431303BB937E}"/>
  <mergeCells count="3">
    <mergeCell ref="O1:P1"/>
    <mergeCell ref="O5:P5"/>
    <mergeCell ref="O10:P10"/>
  </mergeCells>
  <conditionalFormatting sqref="A1:XFD1048576">
    <cfRule type="notContainsBlanks" dxfId="2" priority="3">
      <formula>LEN(TRIM(A1))&gt;0</formula>
    </cfRule>
  </conditionalFormatting>
  <conditionalFormatting sqref="I1:I1048576">
    <cfRule type="containsText" dxfId="1" priority="1" operator="containsText" text="YES">
      <formula>NOT(ISERROR(SEARCH("YES",I1)))</formula>
    </cfRule>
    <cfRule type="expression" dxfId="0" priority="2">
      <formula>ISBLANK($H1)=FALSE</formula>
    </cfRule>
  </conditionalFormatting>
  <dataValidations count="1">
    <dataValidation type="list" allowBlank="1" showInputMessage="1" showErrorMessage="1" sqref="I2:I1048576" xr:uid="{903F6813-B167-4E56-96D1-FDFC44CF7F97}">
      <formula1>$R$6:$R$7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8CD71-EF23-4090-9E53-6E76305B0269}">
  <sheetPr codeName="Sheet5"/>
  <dimension ref="A1:V20"/>
  <sheetViews>
    <sheetView workbookViewId="0">
      <selection activeCell="B5" sqref="B5"/>
    </sheetView>
  </sheetViews>
  <sheetFormatPr defaultRowHeight="14.25" x14ac:dyDescent="0.25"/>
  <cols>
    <col min="1" max="1" width="20.140625" bestFit="1" customWidth="1"/>
    <col min="2" max="2" width="16.42578125" bestFit="1" customWidth="1"/>
    <col min="3" max="3" width="15.140625" bestFit="1" customWidth="1"/>
    <col min="4" max="4" width="14.140625" bestFit="1" customWidth="1"/>
    <col min="5" max="9" width="15.140625" bestFit="1" customWidth="1"/>
    <col min="10" max="10" width="14.140625" bestFit="1" customWidth="1"/>
    <col min="11" max="11" width="15.140625" bestFit="1" customWidth="1"/>
    <col min="12" max="13" width="14.140625" bestFit="1" customWidth="1"/>
    <col min="14" max="15" width="15.140625" bestFit="1" customWidth="1"/>
    <col min="16" max="16" width="14.140625" bestFit="1" customWidth="1"/>
    <col min="17" max="17" width="15.140625" bestFit="1" customWidth="1"/>
    <col min="18" max="21" width="14.140625" bestFit="1" customWidth="1"/>
    <col min="22" max="22" width="11.42578125" bestFit="1" customWidth="1"/>
    <col min="23" max="23" width="16.7109375" bestFit="1" customWidth="1"/>
    <col min="24" max="24" width="11.5703125" bestFit="1" customWidth="1"/>
    <col min="25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22" x14ac:dyDescent="0.25">
      <c r="A1" s="7" t="s">
        <v>13</v>
      </c>
      <c r="B1" t="s">
        <v>28</v>
      </c>
    </row>
    <row r="2" spans="1:22" x14ac:dyDescent="0.25">
      <c r="A2" s="7" t="s">
        <v>112</v>
      </c>
      <c r="B2" t="s">
        <v>105</v>
      </c>
    </row>
    <row r="4" spans="1:22" x14ac:dyDescent="0.25">
      <c r="A4" s="7" t="s">
        <v>113</v>
      </c>
      <c r="B4" s="7" t="s">
        <v>114</v>
      </c>
    </row>
    <row r="5" spans="1:22" x14ac:dyDescent="0.25">
      <c r="A5" s="7" t="s">
        <v>115</v>
      </c>
      <c r="B5" t="s">
        <v>29</v>
      </c>
      <c r="C5" t="s">
        <v>30</v>
      </c>
      <c r="D5" t="s">
        <v>67</v>
      </c>
      <c r="E5" t="s">
        <v>70</v>
      </c>
      <c r="F5" t="s">
        <v>72</v>
      </c>
      <c r="G5" t="s">
        <v>74</v>
      </c>
      <c r="H5" t="s">
        <v>75</v>
      </c>
      <c r="I5" t="s">
        <v>77</v>
      </c>
      <c r="J5" t="s">
        <v>78</v>
      </c>
      <c r="K5" t="s">
        <v>79</v>
      </c>
      <c r="L5" t="s">
        <v>82</v>
      </c>
      <c r="M5" t="s">
        <v>83</v>
      </c>
      <c r="N5" t="s">
        <v>84</v>
      </c>
      <c r="O5" t="s">
        <v>85</v>
      </c>
      <c r="P5" t="s">
        <v>88</v>
      </c>
      <c r="Q5" t="s">
        <v>89</v>
      </c>
      <c r="R5" t="s">
        <v>90</v>
      </c>
      <c r="S5" t="s">
        <v>86</v>
      </c>
      <c r="T5" t="s">
        <v>91</v>
      </c>
      <c r="U5" t="s">
        <v>92</v>
      </c>
      <c r="V5" t="s">
        <v>116</v>
      </c>
    </row>
    <row r="6" spans="1:22" x14ac:dyDescent="0.25">
      <c r="A6" s="8">
        <v>0</v>
      </c>
      <c r="B6" s="15"/>
      <c r="C6" s="15"/>
      <c r="D6" s="15"/>
      <c r="E6" s="15"/>
      <c r="F6" s="15"/>
      <c r="G6" s="15"/>
      <c r="H6" s="15"/>
      <c r="I6" s="15">
        <v>0</v>
      </c>
      <c r="J6" s="15"/>
      <c r="K6" s="15">
        <v>0</v>
      </c>
      <c r="L6" s="15"/>
      <c r="M6" s="15">
        <v>0</v>
      </c>
      <c r="N6" s="15"/>
      <c r="O6" s="15"/>
      <c r="P6" s="15">
        <v>0</v>
      </c>
      <c r="Q6" s="15"/>
      <c r="R6" s="15"/>
      <c r="S6" s="15"/>
      <c r="T6" s="15">
        <v>0</v>
      </c>
      <c r="U6" s="15"/>
      <c r="V6" s="15">
        <v>0</v>
      </c>
    </row>
    <row r="7" spans="1:22" x14ac:dyDescent="0.25">
      <c r="A7" s="8">
        <v>1</v>
      </c>
      <c r="B7" s="15"/>
      <c r="C7" s="15"/>
      <c r="D7" s="15">
        <v>3.5220000000000001E-2</v>
      </c>
      <c r="E7" s="15"/>
      <c r="F7" s="15"/>
      <c r="G7" s="15"/>
      <c r="H7" s="15"/>
      <c r="I7" s="15"/>
      <c r="J7" s="15"/>
      <c r="K7" s="15"/>
      <c r="L7" s="15">
        <v>2.2599999999999999E-2</v>
      </c>
      <c r="M7" s="15">
        <v>3.3000000000000002E-2</v>
      </c>
      <c r="N7" s="15"/>
      <c r="O7" s="15"/>
      <c r="P7" s="15">
        <v>5.8700000000000002E-3</v>
      </c>
      <c r="Q7" s="15"/>
      <c r="R7" s="15"/>
      <c r="S7" s="15"/>
      <c r="T7" s="15">
        <v>3.2119999999999996E-2</v>
      </c>
      <c r="U7" s="15"/>
      <c r="V7" s="15">
        <v>0.12880999999999998</v>
      </c>
    </row>
    <row r="8" spans="1:22" x14ac:dyDescent="0.25">
      <c r="A8" s="8">
        <v>2</v>
      </c>
      <c r="B8" s="15"/>
      <c r="C8" s="15"/>
      <c r="D8" s="15">
        <v>9.3920000000000003E-2</v>
      </c>
      <c r="E8" s="15"/>
      <c r="F8" s="15">
        <v>2.7199999999999998E-2</v>
      </c>
      <c r="G8" s="15"/>
      <c r="H8" s="15"/>
      <c r="I8" s="15">
        <v>0.12</v>
      </c>
      <c r="J8" s="15"/>
      <c r="K8" s="15">
        <v>0.13919999999999999</v>
      </c>
      <c r="L8" s="15"/>
      <c r="M8" s="15">
        <v>0.10999999999999999</v>
      </c>
      <c r="N8" s="15"/>
      <c r="O8" s="15"/>
      <c r="P8" s="15">
        <v>1.174E-2</v>
      </c>
      <c r="Q8" s="15"/>
      <c r="R8" s="15">
        <v>0.79551999999999945</v>
      </c>
      <c r="S8" s="15">
        <v>1.8620000000000001E-2</v>
      </c>
      <c r="T8" s="15">
        <v>1.1679999999999999E-2</v>
      </c>
      <c r="U8" s="15"/>
      <c r="V8" s="15">
        <v>1.3278799999999995</v>
      </c>
    </row>
    <row r="9" spans="1:22" x14ac:dyDescent="0.25">
      <c r="A9" s="8">
        <v>3</v>
      </c>
      <c r="B9" s="15"/>
      <c r="C9" s="15">
        <v>0.21960000000000002</v>
      </c>
      <c r="D9" s="15">
        <v>0.17610000000000003</v>
      </c>
      <c r="E9" s="15"/>
      <c r="F9" s="15"/>
      <c r="G9" s="15"/>
      <c r="H9" s="15"/>
      <c r="I9" s="15"/>
      <c r="J9" s="15"/>
      <c r="K9" s="15"/>
      <c r="L9" s="15">
        <v>0.27119999999999994</v>
      </c>
      <c r="M9" s="15">
        <v>0.13200000000000001</v>
      </c>
      <c r="N9" s="15"/>
      <c r="O9" s="15">
        <v>5.04E-2</v>
      </c>
      <c r="P9" s="15">
        <v>0.29937000000000014</v>
      </c>
      <c r="Q9" s="15"/>
      <c r="R9" s="15">
        <v>0.2712</v>
      </c>
      <c r="S9" s="15">
        <v>8.3790000000000003E-2</v>
      </c>
      <c r="T9" s="15">
        <v>5.2560000000000009E-2</v>
      </c>
      <c r="U9" s="15">
        <v>3.4470000000000001E-2</v>
      </c>
      <c r="V9" s="15">
        <v>1.5906899999999999</v>
      </c>
    </row>
    <row r="10" spans="1:22" x14ac:dyDescent="0.25">
      <c r="A10" s="8">
        <v>4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>
        <v>4.5199999999999997E-2</v>
      </c>
      <c r="M10" s="15">
        <v>4.3999999999999997E-2</v>
      </c>
      <c r="N10" s="15"/>
      <c r="O10" s="15"/>
      <c r="P10" s="15">
        <v>0.18784000000000001</v>
      </c>
      <c r="Q10" s="15"/>
      <c r="R10" s="15">
        <v>0.83167999999999953</v>
      </c>
      <c r="S10" s="15"/>
      <c r="T10" s="15"/>
      <c r="U10" s="15">
        <v>0.1532</v>
      </c>
      <c r="V10" s="15">
        <v>1.2619199999999995</v>
      </c>
    </row>
    <row r="11" spans="1:22" x14ac:dyDescent="0.25">
      <c r="A11" s="8">
        <v>5</v>
      </c>
      <c r="B11" s="15">
        <v>0.2505</v>
      </c>
      <c r="C11" s="15">
        <v>0.183</v>
      </c>
      <c r="D11" s="15"/>
      <c r="E11" s="15"/>
      <c r="F11" s="15">
        <v>0.27199999999999996</v>
      </c>
      <c r="G11" s="15"/>
      <c r="H11" s="15"/>
      <c r="I11" s="15"/>
      <c r="J11" s="15">
        <v>0.246</v>
      </c>
      <c r="K11" s="15"/>
      <c r="L11" s="15"/>
      <c r="M11" s="15"/>
      <c r="N11" s="15"/>
      <c r="O11" s="15"/>
      <c r="P11" s="15">
        <v>2.9350000000000001E-2</v>
      </c>
      <c r="Q11" s="15">
        <v>0.35099999999999998</v>
      </c>
      <c r="R11" s="15"/>
      <c r="S11" s="15"/>
      <c r="T11" s="15"/>
      <c r="U11" s="15"/>
      <c r="V11" s="15">
        <v>1.33185</v>
      </c>
    </row>
    <row r="12" spans="1:22" x14ac:dyDescent="0.25">
      <c r="A12" s="8">
        <v>6</v>
      </c>
      <c r="B12" s="15">
        <v>0.90179999999999993</v>
      </c>
      <c r="C12" s="15">
        <v>0.43920000000000003</v>
      </c>
      <c r="D12" s="15"/>
      <c r="E12" s="15"/>
      <c r="F12" s="15">
        <v>0.81599999999999995</v>
      </c>
      <c r="G12" s="15"/>
      <c r="H12" s="15">
        <v>0.1206</v>
      </c>
      <c r="I12" s="15"/>
      <c r="J12" s="15"/>
      <c r="K12" s="15">
        <v>0.10439999999999999</v>
      </c>
      <c r="L12" s="15">
        <v>0.2712</v>
      </c>
      <c r="M12" s="15">
        <v>6.6000000000000003E-2</v>
      </c>
      <c r="N12" s="15"/>
      <c r="O12" s="15">
        <v>0.1008</v>
      </c>
      <c r="P12" s="15"/>
      <c r="Q12" s="15">
        <v>6.3179999999999978</v>
      </c>
      <c r="R12" s="15">
        <v>0.10847999999999999</v>
      </c>
      <c r="S12" s="15">
        <v>0.33516000000000007</v>
      </c>
      <c r="T12" s="15"/>
      <c r="U12" s="15"/>
      <c r="V12" s="15">
        <v>9.5816399999999984</v>
      </c>
    </row>
    <row r="13" spans="1:22" x14ac:dyDescent="0.25">
      <c r="A13" s="8">
        <v>7</v>
      </c>
      <c r="B13" s="15">
        <v>8.7674999999999965</v>
      </c>
      <c r="C13" s="15">
        <v>2.0495999999999999</v>
      </c>
      <c r="D13" s="15">
        <v>0.32872000000000007</v>
      </c>
      <c r="E13" s="15">
        <v>2.2932000000000006</v>
      </c>
      <c r="F13" s="15">
        <v>0.76159999999999983</v>
      </c>
      <c r="G13" s="15">
        <v>2.5703999999999998</v>
      </c>
      <c r="H13" s="15">
        <v>0.84420000000000006</v>
      </c>
      <c r="I13" s="15">
        <v>0.42</v>
      </c>
      <c r="J13" s="15">
        <v>1.2053999999999998</v>
      </c>
      <c r="K13" s="15">
        <v>1.5833999999999997</v>
      </c>
      <c r="L13" s="15">
        <v>0.63279999999999992</v>
      </c>
      <c r="M13" s="15"/>
      <c r="N13" s="15">
        <v>0.44730000000000003</v>
      </c>
      <c r="O13" s="15">
        <v>1.1759999999999999</v>
      </c>
      <c r="P13" s="15"/>
      <c r="Q13" s="15">
        <v>5.8967999999999989</v>
      </c>
      <c r="R13" s="15">
        <v>1.2023200000000001</v>
      </c>
      <c r="S13" s="15"/>
      <c r="T13" s="15"/>
      <c r="U13" s="15"/>
      <c r="V13" s="15">
        <v>30.179239999999997</v>
      </c>
    </row>
    <row r="14" spans="1:22" x14ac:dyDescent="0.25">
      <c r="A14" s="8">
        <v>8</v>
      </c>
      <c r="B14" s="15"/>
      <c r="C14" s="15">
        <v>0.58560000000000001</v>
      </c>
      <c r="D14" s="15"/>
      <c r="E14" s="15">
        <v>2.016</v>
      </c>
      <c r="F14" s="15">
        <v>0.76159999999999994</v>
      </c>
      <c r="G14" s="15">
        <v>2.6928000000000001</v>
      </c>
      <c r="H14" s="15">
        <v>0.9648000000000001</v>
      </c>
      <c r="I14" s="15">
        <v>1.2000000000000002</v>
      </c>
      <c r="J14" s="15"/>
      <c r="K14" s="15">
        <v>1.1135999999999999</v>
      </c>
      <c r="L14" s="15">
        <v>0.18079999999999999</v>
      </c>
      <c r="M14" s="15">
        <v>0.17599999999999999</v>
      </c>
      <c r="N14" s="15">
        <v>3.0671999999999988</v>
      </c>
      <c r="O14" s="15">
        <v>0.94079999999999986</v>
      </c>
      <c r="P14" s="15">
        <v>4.6960000000000002E-2</v>
      </c>
      <c r="Q14" s="15"/>
      <c r="R14" s="15"/>
      <c r="S14" s="15">
        <v>7.4480000000000005E-2</v>
      </c>
      <c r="T14" s="15"/>
      <c r="U14" s="15"/>
      <c r="V14" s="15">
        <v>13.820639999999997</v>
      </c>
    </row>
    <row r="15" spans="1:22" x14ac:dyDescent="0.25">
      <c r="A15" s="8">
        <v>9</v>
      </c>
      <c r="B15" s="15"/>
      <c r="C15" s="15">
        <v>0.98820000000000008</v>
      </c>
      <c r="D15" s="15">
        <v>5.2830000000000002E-2</v>
      </c>
      <c r="E15" s="15">
        <v>1.5875999999999997</v>
      </c>
      <c r="F15" s="15">
        <v>0.73439999999999994</v>
      </c>
      <c r="G15" s="15">
        <v>1.1015999999999999</v>
      </c>
      <c r="H15" s="15">
        <v>0.54269999999999996</v>
      </c>
      <c r="I15" s="15">
        <v>0.27</v>
      </c>
      <c r="J15" s="15"/>
      <c r="K15" s="15"/>
      <c r="L15" s="15">
        <v>0.40679999999999999</v>
      </c>
      <c r="M15" s="15">
        <v>0.39599999999999996</v>
      </c>
      <c r="N15" s="15">
        <v>0.76679999999999993</v>
      </c>
      <c r="O15" s="15">
        <v>0.6048</v>
      </c>
      <c r="P15" s="15"/>
      <c r="Q15" s="15"/>
      <c r="R15" s="15"/>
      <c r="S15" s="15">
        <v>8.3790000000000003E-2</v>
      </c>
      <c r="T15" s="15"/>
      <c r="U15" s="15"/>
      <c r="V15" s="15">
        <v>7.5355199999999982</v>
      </c>
    </row>
    <row r="16" spans="1:22" x14ac:dyDescent="0.25">
      <c r="A16" s="8">
        <v>10</v>
      </c>
      <c r="B16" s="15"/>
      <c r="C16" s="15"/>
      <c r="D16" s="15"/>
      <c r="E16" s="15"/>
      <c r="F16" s="15">
        <v>0.27199999999999996</v>
      </c>
      <c r="G16" s="15"/>
      <c r="H16" s="15"/>
      <c r="I16" s="15"/>
      <c r="J16" s="15"/>
      <c r="K16" s="15"/>
      <c r="L16" s="15"/>
      <c r="M16" s="15">
        <v>0.54999999999999993</v>
      </c>
      <c r="N16" s="15"/>
      <c r="O16" s="15"/>
      <c r="P16" s="15"/>
      <c r="Q16" s="15"/>
      <c r="R16" s="15"/>
      <c r="S16" s="15"/>
      <c r="T16" s="15"/>
      <c r="U16" s="15"/>
      <c r="V16" s="15">
        <v>0.82199999999999984</v>
      </c>
    </row>
    <row r="17" spans="1:22" x14ac:dyDescent="0.25">
      <c r="A17" s="8">
        <v>11</v>
      </c>
      <c r="B17" s="15"/>
      <c r="C17" s="15"/>
      <c r="D17" s="15"/>
      <c r="E17" s="15"/>
      <c r="F17" s="15">
        <v>0.44879999999999998</v>
      </c>
      <c r="G17" s="15"/>
      <c r="H17" s="15">
        <v>0.22109999999999999</v>
      </c>
      <c r="I17" s="15"/>
      <c r="J17" s="15"/>
      <c r="K17" s="15"/>
      <c r="L17" s="15"/>
      <c r="M17" s="15">
        <v>0.24199999999999999</v>
      </c>
      <c r="N17" s="15"/>
      <c r="O17" s="15">
        <v>0.18479999999999999</v>
      </c>
      <c r="P17" s="15">
        <v>6.4570000000000002E-2</v>
      </c>
      <c r="Q17" s="15"/>
      <c r="R17" s="15">
        <v>0.89495999999999987</v>
      </c>
      <c r="S17" s="15">
        <v>0.51205000000000001</v>
      </c>
      <c r="T17" s="15"/>
      <c r="U17" s="15"/>
      <c r="V17" s="15">
        <v>2.5682799999999997</v>
      </c>
    </row>
    <row r="18" spans="1:22" x14ac:dyDescent="0.25">
      <c r="A18" s="8">
        <v>12</v>
      </c>
      <c r="B18" s="15"/>
      <c r="C18" s="15"/>
      <c r="D18" s="15"/>
      <c r="E18" s="15"/>
      <c r="F18" s="15">
        <v>3.2639999999999985</v>
      </c>
      <c r="G18" s="15"/>
      <c r="H18" s="15"/>
      <c r="I18" s="15"/>
      <c r="J18" s="15"/>
      <c r="K18" s="15"/>
      <c r="L18" s="15">
        <v>0.1356</v>
      </c>
      <c r="M18" s="15">
        <v>1.056</v>
      </c>
      <c r="N18" s="15">
        <v>0.25559999999999999</v>
      </c>
      <c r="O18" s="15">
        <v>0.2016</v>
      </c>
      <c r="P18" s="15"/>
      <c r="Q18" s="15"/>
      <c r="R18" s="15"/>
      <c r="S18" s="15">
        <v>0.11172000000000001</v>
      </c>
      <c r="T18" s="15"/>
      <c r="U18" s="15"/>
      <c r="V18" s="15">
        <v>5.024519999999999</v>
      </c>
    </row>
    <row r="19" spans="1:22" x14ac:dyDescent="0.25">
      <c r="A19" s="8">
        <v>13</v>
      </c>
      <c r="B19" s="15"/>
      <c r="C19" s="15"/>
      <c r="D19" s="15"/>
      <c r="E19" s="15"/>
      <c r="F19" s="15">
        <v>0.53039999999999998</v>
      </c>
      <c r="G19" s="15"/>
      <c r="H19" s="15"/>
      <c r="I19" s="15"/>
      <c r="J19" s="15"/>
      <c r="K19" s="15"/>
      <c r="L19" s="15"/>
      <c r="M19" s="15">
        <v>0.28599999999999998</v>
      </c>
      <c r="N19" s="15"/>
      <c r="O19" s="15"/>
      <c r="P19" s="15"/>
      <c r="Q19" s="15"/>
      <c r="R19" s="15"/>
      <c r="S19" s="15"/>
      <c r="T19" s="15"/>
      <c r="U19" s="15"/>
      <c r="V19" s="15">
        <v>0.81640000000000001</v>
      </c>
    </row>
    <row r="20" spans="1:22" x14ac:dyDescent="0.25">
      <c r="A20" s="8" t="s">
        <v>116</v>
      </c>
      <c r="B20" s="15">
        <v>9.9197999999999968</v>
      </c>
      <c r="C20" s="15">
        <v>4.4652000000000003</v>
      </c>
      <c r="D20" s="15">
        <v>0.68679000000000012</v>
      </c>
      <c r="E20" s="15">
        <v>5.8968000000000007</v>
      </c>
      <c r="F20" s="15">
        <v>7.8879999999999981</v>
      </c>
      <c r="G20" s="15">
        <v>6.3647999999999989</v>
      </c>
      <c r="H20" s="15">
        <v>2.6934</v>
      </c>
      <c r="I20" s="15">
        <v>2.0100000000000002</v>
      </c>
      <c r="J20" s="15">
        <v>1.4513999999999998</v>
      </c>
      <c r="K20" s="15">
        <v>2.9405999999999999</v>
      </c>
      <c r="L20" s="15">
        <v>1.9661999999999999</v>
      </c>
      <c r="M20" s="15">
        <v>3.0909999999999997</v>
      </c>
      <c r="N20" s="15">
        <v>4.5368999999999993</v>
      </c>
      <c r="O20" s="15">
        <v>3.2591999999999999</v>
      </c>
      <c r="P20" s="15">
        <v>0.64570000000000016</v>
      </c>
      <c r="Q20" s="15">
        <v>12.565799999999996</v>
      </c>
      <c r="R20" s="15">
        <v>4.1041599999999994</v>
      </c>
      <c r="S20" s="15">
        <v>1.2196100000000003</v>
      </c>
      <c r="T20" s="15">
        <v>9.6360000000000001E-2</v>
      </c>
      <c r="U20" s="15">
        <v>0.18767</v>
      </c>
      <c r="V20" s="15">
        <v>75.989389999999986</v>
      </c>
    </row>
  </sheetData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1474B-A7B2-496E-A34D-5D825D58620E}">
  <sheetPr codeName="Sheet6"/>
  <dimension ref="A1:D11"/>
  <sheetViews>
    <sheetView workbookViewId="0">
      <selection activeCell="E42" sqref="E42"/>
    </sheetView>
  </sheetViews>
  <sheetFormatPr defaultColWidth="9.140625" defaultRowHeight="14.25" x14ac:dyDescent="0.25"/>
  <cols>
    <col min="1" max="1" width="20.140625" bestFit="1" customWidth="1"/>
    <col min="2" max="2" width="16.42578125" bestFit="1" customWidth="1"/>
    <col min="3" max="3" width="13.42578125" bestFit="1" customWidth="1"/>
    <col min="4" max="4" width="11.42578125" bestFit="1" customWidth="1"/>
    <col min="5" max="5" width="15.7109375" bestFit="1" customWidth="1"/>
    <col min="6" max="8" width="16.7109375" bestFit="1" customWidth="1"/>
    <col min="9" max="9" width="15.7109375" bestFit="1" customWidth="1"/>
    <col min="10" max="10" width="16.7109375" bestFit="1" customWidth="1"/>
    <col min="11" max="11" width="11.42578125" bestFit="1" customWidth="1"/>
    <col min="12" max="12" width="15.1406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4" x14ac:dyDescent="0.25">
      <c r="A1" s="7" t="s">
        <v>13</v>
      </c>
      <c r="B1" t="s">
        <v>65</v>
      </c>
    </row>
    <row r="2" spans="1:4" x14ac:dyDescent="0.25">
      <c r="A2" s="7" t="s">
        <v>112</v>
      </c>
      <c r="B2" t="s">
        <v>105</v>
      </c>
    </row>
    <row r="4" spans="1:4" x14ac:dyDescent="0.25">
      <c r="A4" s="7" t="s">
        <v>113</v>
      </c>
      <c r="B4" s="7" t="s">
        <v>114</v>
      </c>
    </row>
    <row r="5" spans="1:4" x14ac:dyDescent="0.25">
      <c r="A5" s="7" t="s">
        <v>115</v>
      </c>
      <c r="B5" t="s">
        <v>66</v>
      </c>
      <c r="C5" t="s">
        <v>87</v>
      </c>
      <c r="D5" t="s">
        <v>116</v>
      </c>
    </row>
    <row r="6" spans="1:4" x14ac:dyDescent="0.25">
      <c r="A6" s="8">
        <v>4</v>
      </c>
      <c r="B6" s="15">
        <v>0.08</v>
      </c>
      <c r="C6" s="15"/>
      <c r="D6" s="15">
        <v>0.08</v>
      </c>
    </row>
    <row r="7" spans="1:4" x14ac:dyDescent="0.25">
      <c r="A7" s="8">
        <v>6</v>
      </c>
      <c r="B7" s="15"/>
      <c r="C7" s="15">
        <v>7.6319999999999985E-2</v>
      </c>
      <c r="D7" s="15">
        <v>7.6319999999999985E-2</v>
      </c>
    </row>
    <row r="8" spans="1:4" x14ac:dyDescent="0.25">
      <c r="A8" s="8">
        <v>7</v>
      </c>
      <c r="B8" s="15"/>
      <c r="C8" s="15">
        <v>0.11871999999999996</v>
      </c>
      <c r="D8" s="15">
        <v>0.11871999999999996</v>
      </c>
    </row>
    <row r="9" spans="1:4" x14ac:dyDescent="0.25">
      <c r="A9" s="8">
        <v>8</v>
      </c>
      <c r="B9" s="15"/>
      <c r="C9" s="15">
        <v>3.3919999999999999E-2</v>
      </c>
      <c r="D9" s="15">
        <v>3.3919999999999999E-2</v>
      </c>
    </row>
    <row r="10" spans="1:4" x14ac:dyDescent="0.25">
      <c r="A10" s="8">
        <v>9</v>
      </c>
      <c r="B10" s="15"/>
      <c r="C10" s="15">
        <v>3.8159999999999999E-2</v>
      </c>
      <c r="D10" s="15">
        <v>3.8159999999999999E-2</v>
      </c>
    </row>
    <row r="11" spans="1:4" x14ac:dyDescent="0.25">
      <c r="A11" s="8" t="s">
        <v>116</v>
      </c>
      <c r="B11" s="15">
        <v>0.08</v>
      </c>
      <c r="C11" s="15">
        <v>0.26711999999999991</v>
      </c>
      <c r="D11" s="15">
        <v>0.34711999999999998</v>
      </c>
    </row>
  </sheetData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D91A7-AFCA-431E-8583-DA5014784FDB}">
  <sheetPr codeName="Sheet7"/>
  <dimension ref="A1:I15"/>
  <sheetViews>
    <sheetView topLeftCell="A10" workbookViewId="0">
      <selection activeCell="F35" sqref="F35"/>
    </sheetView>
  </sheetViews>
  <sheetFormatPr defaultColWidth="9.140625" defaultRowHeight="14.25" x14ac:dyDescent="0.25"/>
  <cols>
    <col min="1" max="1" width="20.140625" bestFit="1" customWidth="1"/>
    <col min="2" max="2" width="16.85546875" bestFit="1" customWidth="1"/>
    <col min="3" max="5" width="16.7109375" bestFit="1" customWidth="1"/>
    <col min="6" max="6" width="15.7109375" bestFit="1" customWidth="1"/>
    <col min="7" max="8" width="16.7109375" bestFit="1" customWidth="1"/>
    <col min="9" max="9" width="11.42578125" bestFit="1" customWidth="1"/>
    <col min="10" max="10" width="18" bestFit="1" customWidth="1"/>
    <col min="11" max="11" width="11.5703125" bestFit="1" customWidth="1"/>
    <col min="12" max="12" width="15.1406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9" x14ac:dyDescent="0.25">
      <c r="A1" s="7" t="s">
        <v>13</v>
      </c>
      <c r="B1" t="s">
        <v>117</v>
      </c>
    </row>
    <row r="2" spans="1:9" x14ac:dyDescent="0.25">
      <c r="A2" s="7" t="s">
        <v>112</v>
      </c>
      <c r="B2" t="s">
        <v>105</v>
      </c>
    </row>
    <row r="4" spans="1:9" x14ac:dyDescent="0.25">
      <c r="A4" s="7" t="s">
        <v>113</v>
      </c>
      <c r="B4" s="7" t="s">
        <v>114</v>
      </c>
    </row>
    <row r="5" spans="1:9" x14ac:dyDescent="0.25">
      <c r="A5" s="7" t="s">
        <v>115</v>
      </c>
      <c r="B5" t="s">
        <v>64</v>
      </c>
      <c r="C5" t="s">
        <v>93</v>
      </c>
      <c r="D5" t="s">
        <v>94</v>
      </c>
      <c r="E5" t="s">
        <v>95</v>
      </c>
      <c r="F5" t="s">
        <v>96</v>
      </c>
      <c r="G5" t="s">
        <v>97</v>
      </c>
      <c r="H5" t="s">
        <v>98</v>
      </c>
      <c r="I5" t="s">
        <v>116</v>
      </c>
    </row>
    <row r="6" spans="1:9" x14ac:dyDescent="0.25">
      <c r="A6" s="8">
        <v>0</v>
      </c>
      <c r="B6" s="15">
        <v>0</v>
      </c>
      <c r="C6" s="15"/>
      <c r="D6" s="15"/>
      <c r="E6" s="15"/>
      <c r="F6" s="15"/>
      <c r="G6" s="15"/>
      <c r="H6" s="15"/>
      <c r="I6" s="15">
        <v>0</v>
      </c>
    </row>
    <row r="7" spans="1:9" x14ac:dyDescent="0.25">
      <c r="A7" s="8">
        <v>2</v>
      </c>
      <c r="B7" s="15">
        <v>2.9399999999999999E-2</v>
      </c>
      <c r="C7" s="15"/>
      <c r="D7" s="15"/>
      <c r="E7" s="15"/>
      <c r="F7" s="15"/>
      <c r="G7" s="15"/>
      <c r="H7" s="15"/>
      <c r="I7" s="15">
        <v>2.9399999999999999E-2</v>
      </c>
    </row>
    <row r="8" spans="1:9" x14ac:dyDescent="0.25">
      <c r="A8" s="8">
        <v>3</v>
      </c>
      <c r="B8" s="15">
        <v>0.1764</v>
      </c>
      <c r="C8" s="15">
        <v>2.7629999999999998E-2</v>
      </c>
      <c r="D8" s="15"/>
      <c r="E8" s="15"/>
      <c r="F8" s="15"/>
      <c r="G8" s="15"/>
      <c r="H8" s="15"/>
      <c r="I8" s="15">
        <v>0.20402999999999999</v>
      </c>
    </row>
    <row r="9" spans="1:9" x14ac:dyDescent="0.25">
      <c r="A9" s="8">
        <v>4</v>
      </c>
      <c r="B9" s="15">
        <v>5.8799999999999998E-2</v>
      </c>
      <c r="C9" s="15">
        <v>0.29471999999999993</v>
      </c>
      <c r="D9" s="15">
        <v>0.36799999999999994</v>
      </c>
      <c r="E9" s="15"/>
      <c r="F9" s="15"/>
      <c r="G9" s="15">
        <v>0.42816000000000004</v>
      </c>
      <c r="H9" s="15">
        <v>0.47935999999999984</v>
      </c>
      <c r="I9" s="15">
        <v>1.6290399999999998</v>
      </c>
    </row>
    <row r="10" spans="1:9" x14ac:dyDescent="0.25">
      <c r="A10" s="8">
        <v>5</v>
      </c>
      <c r="B10" s="15">
        <v>7.3499999999999996E-2</v>
      </c>
      <c r="C10" s="15">
        <v>1.0131000000000001</v>
      </c>
      <c r="D10" s="15">
        <v>0.45999999999999996</v>
      </c>
      <c r="E10" s="15">
        <v>1.9293500000000012</v>
      </c>
      <c r="F10" s="15">
        <v>1.0336000000000003</v>
      </c>
      <c r="G10" s="15">
        <v>1.0034999999999996</v>
      </c>
      <c r="H10" s="15">
        <v>0.97369999999999968</v>
      </c>
      <c r="I10" s="15">
        <v>6.4867500000000007</v>
      </c>
    </row>
    <row r="11" spans="1:9" x14ac:dyDescent="0.25">
      <c r="A11" s="8">
        <v>6</v>
      </c>
      <c r="B11" s="15">
        <v>0.3528</v>
      </c>
      <c r="C11" s="15">
        <v>1.2157199999999999</v>
      </c>
      <c r="D11" s="15"/>
      <c r="E11" s="15"/>
      <c r="F11" s="15">
        <v>6.5280000000000005E-2</v>
      </c>
      <c r="G11" s="15">
        <v>0.60209999999999997</v>
      </c>
      <c r="H11" s="15">
        <v>0.89879999999999971</v>
      </c>
      <c r="I11" s="15">
        <v>3.1346999999999996</v>
      </c>
    </row>
    <row r="12" spans="1:9" x14ac:dyDescent="0.25">
      <c r="A12" s="8">
        <v>7</v>
      </c>
      <c r="B12" s="15">
        <v>0.61739999999999995</v>
      </c>
      <c r="C12" s="15">
        <v>0.51576000000000011</v>
      </c>
      <c r="D12" s="15">
        <v>0.161</v>
      </c>
      <c r="E12" s="15"/>
      <c r="F12" s="15"/>
      <c r="G12" s="15"/>
      <c r="H12" s="15"/>
      <c r="I12" s="15">
        <v>1.2941600000000002</v>
      </c>
    </row>
    <row r="13" spans="1:9" x14ac:dyDescent="0.25">
      <c r="A13" s="8">
        <v>8</v>
      </c>
      <c r="B13" s="15"/>
      <c r="C13" s="15"/>
      <c r="D13" s="15">
        <v>1.8400000000000005</v>
      </c>
      <c r="E13" s="15"/>
      <c r="F13" s="15">
        <v>0.34816000000000003</v>
      </c>
      <c r="G13" s="15"/>
      <c r="H13" s="15">
        <v>5.9920000000000001E-2</v>
      </c>
      <c r="I13" s="15">
        <v>2.2480800000000007</v>
      </c>
    </row>
    <row r="14" spans="1:9" x14ac:dyDescent="0.25">
      <c r="A14" s="8">
        <v>9</v>
      </c>
      <c r="B14" s="15"/>
      <c r="C14" s="15"/>
      <c r="D14" s="15"/>
      <c r="E14" s="15"/>
      <c r="F14" s="15">
        <v>0.19584000000000001</v>
      </c>
      <c r="G14" s="15"/>
      <c r="H14" s="15"/>
      <c r="I14" s="15">
        <v>0.19584000000000001</v>
      </c>
    </row>
    <row r="15" spans="1:9" x14ac:dyDescent="0.25">
      <c r="A15" s="8" t="s">
        <v>116</v>
      </c>
      <c r="B15" s="15">
        <v>1.3083</v>
      </c>
      <c r="C15" s="15">
        <v>3.0669300000000002</v>
      </c>
      <c r="D15" s="15">
        <v>2.8290000000000006</v>
      </c>
      <c r="E15" s="15">
        <v>1.9293500000000012</v>
      </c>
      <c r="F15" s="15">
        <v>1.6428800000000003</v>
      </c>
      <c r="G15" s="15">
        <v>2.0337599999999996</v>
      </c>
      <c r="H15" s="15">
        <v>2.4117799999999994</v>
      </c>
      <c r="I15" s="15">
        <v>15.222000000000001</v>
      </c>
    </row>
  </sheetData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0237B-CA1F-46FA-B963-4C5743F7C178}">
  <sheetPr codeName="Sheet8"/>
  <dimension ref="A1:C13"/>
  <sheetViews>
    <sheetView topLeftCell="A7" workbookViewId="0">
      <selection activeCell="F13" sqref="F13"/>
    </sheetView>
  </sheetViews>
  <sheetFormatPr defaultColWidth="9.140625" defaultRowHeight="14.25" x14ac:dyDescent="0.25"/>
  <cols>
    <col min="1" max="1" width="20.140625" bestFit="1" customWidth="1"/>
    <col min="2" max="2" width="16.85546875" bestFit="1" customWidth="1"/>
    <col min="3" max="3" width="11.42578125" bestFit="1" customWidth="1"/>
    <col min="4" max="4" width="15.140625" bestFit="1" customWidth="1"/>
    <col min="5" max="7" width="18" bestFit="1" customWidth="1"/>
    <col min="8" max="8" width="16.7109375" bestFit="1" customWidth="1"/>
    <col min="9" max="10" width="18" bestFit="1" customWidth="1"/>
    <col min="11" max="11" width="11.5703125" bestFit="1" customWidth="1"/>
    <col min="12" max="12" width="15.1406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3" x14ac:dyDescent="0.25">
      <c r="A1" s="7" t="s">
        <v>13</v>
      </c>
      <c r="B1" t="s">
        <v>62</v>
      </c>
    </row>
    <row r="2" spans="1:3" x14ac:dyDescent="0.25">
      <c r="A2" s="7" t="s">
        <v>112</v>
      </c>
      <c r="B2" t="s">
        <v>105</v>
      </c>
    </row>
    <row r="4" spans="1:3" x14ac:dyDescent="0.25">
      <c r="A4" s="7" t="s">
        <v>113</v>
      </c>
      <c r="B4" s="7" t="s">
        <v>114</v>
      </c>
    </row>
    <row r="5" spans="1:3" x14ac:dyDescent="0.25">
      <c r="A5" s="7" t="s">
        <v>115</v>
      </c>
      <c r="B5" t="s">
        <v>64</v>
      </c>
      <c r="C5" t="s">
        <v>116</v>
      </c>
    </row>
    <row r="6" spans="1:3" x14ac:dyDescent="0.25">
      <c r="A6" s="8">
        <v>0</v>
      </c>
      <c r="B6" s="15">
        <v>0</v>
      </c>
      <c r="C6" s="15">
        <v>0</v>
      </c>
    </row>
    <row r="7" spans="1:3" x14ac:dyDescent="0.25">
      <c r="A7" s="8">
        <v>2</v>
      </c>
      <c r="B7" s="15">
        <v>2.9399999999999999E-2</v>
      </c>
      <c r="C7" s="15">
        <v>2.9399999999999999E-2</v>
      </c>
    </row>
    <row r="8" spans="1:3" x14ac:dyDescent="0.25">
      <c r="A8" s="8">
        <v>3</v>
      </c>
      <c r="B8" s="15">
        <v>0.1764</v>
      </c>
      <c r="C8" s="15">
        <v>0.1764</v>
      </c>
    </row>
    <row r="9" spans="1:3" x14ac:dyDescent="0.25">
      <c r="A9" s="8">
        <v>4</v>
      </c>
      <c r="B9" s="15">
        <v>5.8799999999999998E-2</v>
      </c>
      <c r="C9" s="15">
        <v>5.8799999999999998E-2</v>
      </c>
    </row>
    <row r="10" spans="1:3" x14ac:dyDescent="0.25">
      <c r="A10" s="8">
        <v>5</v>
      </c>
      <c r="B10" s="15">
        <v>7.3499999999999996E-2</v>
      </c>
      <c r="C10" s="15">
        <v>7.3499999999999996E-2</v>
      </c>
    </row>
    <row r="11" spans="1:3" x14ac:dyDescent="0.25">
      <c r="A11" s="8">
        <v>6</v>
      </c>
      <c r="B11" s="15">
        <v>0.3528</v>
      </c>
      <c r="C11" s="15">
        <v>0.3528</v>
      </c>
    </row>
    <row r="12" spans="1:3" x14ac:dyDescent="0.25">
      <c r="A12" s="8">
        <v>7</v>
      </c>
      <c r="B12" s="15">
        <v>0.61739999999999995</v>
      </c>
      <c r="C12" s="15">
        <v>0.61739999999999995</v>
      </c>
    </row>
    <row r="13" spans="1:3" x14ac:dyDescent="0.25">
      <c r="A13" s="8" t="s">
        <v>116</v>
      </c>
      <c r="B13" s="15">
        <v>1.3083</v>
      </c>
      <c r="C13" s="15">
        <v>1.3083</v>
      </c>
    </row>
  </sheetData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5856F-2CB0-4A6A-AE57-68F651AD8AFE}">
  <sheetPr codeName="Sheet9"/>
  <dimension ref="A1:H11"/>
  <sheetViews>
    <sheetView topLeftCell="A7" workbookViewId="0">
      <selection activeCell="F22" sqref="F22"/>
    </sheetView>
  </sheetViews>
  <sheetFormatPr defaultColWidth="9.140625" defaultRowHeight="14.25" x14ac:dyDescent="0.25"/>
  <cols>
    <col min="1" max="1" width="20.140625" bestFit="1" customWidth="1"/>
    <col min="2" max="2" width="16.42578125" bestFit="1" customWidth="1"/>
    <col min="3" max="3" width="11.85546875" bestFit="1" customWidth="1"/>
    <col min="4" max="7" width="10.85546875" bestFit="1" customWidth="1"/>
    <col min="8" max="8" width="11.42578125" bestFit="1" customWidth="1"/>
    <col min="9" max="9" width="18" bestFit="1" customWidth="1"/>
    <col min="10" max="10" width="16.7109375" bestFit="1" customWidth="1"/>
    <col min="11" max="11" width="18" bestFit="1" customWidth="1"/>
    <col min="12" max="12" width="11.57031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8" x14ac:dyDescent="0.25">
      <c r="A1" s="7" t="s">
        <v>13</v>
      </c>
      <c r="B1" t="s">
        <v>117</v>
      </c>
    </row>
    <row r="2" spans="1:8" x14ac:dyDescent="0.25">
      <c r="A2" s="7" t="s">
        <v>112</v>
      </c>
      <c r="B2" t="s">
        <v>105</v>
      </c>
    </row>
    <row r="4" spans="1:8" x14ac:dyDescent="0.25">
      <c r="A4" s="7" t="s">
        <v>113</v>
      </c>
      <c r="B4" s="7" t="s">
        <v>114</v>
      </c>
    </row>
    <row r="5" spans="1:8" x14ac:dyDescent="0.25">
      <c r="A5" s="7" t="s">
        <v>115</v>
      </c>
      <c r="B5" t="s">
        <v>48</v>
      </c>
      <c r="C5" t="s">
        <v>49</v>
      </c>
      <c r="D5" t="s">
        <v>58</v>
      </c>
      <c r="E5" t="s">
        <v>59</v>
      </c>
      <c r="F5" t="s">
        <v>60</v>
      </c>
      <c r="G5" t="s">
        <v>63</v>
      </c>
      <c r="H5" t="s">
        <v>116</v>
      </c>
    </row>
    <row r="6" spans="1:8" x14ac:dyDescent="0.25">
      <c r="A6" s="8">
        <v>0</v>
      </c>
      <c r="B6" s="15"/>
      <c r="C6" s="15"/>
      <c r="D6" s="15">
        <v>0</v>
      </c>
      <c r="E6" s="15">
        <v>0</v>
      </c>
      <c r="F6" s="15">
        <v>0</v>
      </c>
      <c r="G6" s="15">
        <v>0</v>
      </c>
      <c r="H6" s="15">
        <v>0</v>
      </c>
    </row>
    <row r="7" spans="1:8" x14ac:dyDescent="0.25">
      <c r="A7" s="8">
        <v>1</v>
      </c>
      <c r="B7" s="15"/>
      <c r="C7" s="15"/>
      <c r="D7" s="15"/>
      <c r="E7" s="15">
        <v>1.554E-2</v>
      </c>
      <c r="F7" s="15">
        <v>0.12768000000000007</v>
      </c>
      <c r="G7" s="15">
        <v>1.5200000000000002E-2</v>
      </c>
      <c r="H7" s="15">
        <v>0.15842000000000006</v>
      </c>
    </row>
    <row r="8" spans="1:8" x14ac:dyDescent="0.25">
      <c r="A8" s="8">
        <v>2</v>
      </c>
      <c r="B8" s="15"/>
      <c r="C8" s="15"/>
      <c r="D8" s="15"/>
      <c r="E8" s="15">
        <v>6.2159999999999986E-2</v>
      </c>
      <c r="F8" s="15">
        <v>1.8239999999999999E-2</v>
      </c>
      <c r="G8" s="15"/>
      <c r="H8" s="15">
        <v>8.0399999999999985E-2</v>
      </c>
    </row>
    <row r="9" spans="1:8" x14ac:dyDescent="0.25">
      <c r="A9" s="8">
        <v>3</v>
      </c>
      <c r="B9" s="15">
        <v>0.29484000000000005</v>
      </c>
      <c r="C9" s="15"/>
      <c r="D9" s="15"/>
      <c r="E9" s="15"/>
      <c r="F9" s="15"/>
      <c r="G9" s="15"/>
      <c r="H9" s="15">
        <v>0.29484000000000005</v>
      </c>
    </row>
    <row r="10" spans="1:8" x14ac:dyDescent="0.25">
      <c r="A10" s="8">
        <v>7</v>
      </c>
      <c r="B10" s="15"/>
      <c r="C10" s="15">
        <v>1.3792799999999996</v>
      </c>
      <c r="D10" s="15">
        <v>0.8853599999999997</v>
      </c>
      <c r="E10" s="15"/>
      <c r="F10" s="15"/>
      <c r="G10" s="15"/>
      <c r="H10" s="15">
        <v>2.2646399999999991</v>
      </c>
    </row>
    <row r="11" spans="1:8" x14ac:dyDescent="0.25">
      <c r="A11" s="8" t="s">
        <v>116</v>
      </c>
      <c r="B11" s="15">
        <v>0.29484000000000005</v>
      </c>
      <c r="C11" s="15">
        <v>1.3792799999999996</v>
      </c>
      <c r="D11" s="15">
        <v>0.8853599999999997</v>
      </c>
      <c r="E11" s="15">
        <v>7.7699999999999991E-2</v>
      </c>
      <c r="F11" s="15">
        <v>0.14592000000000008</v>
      </c>
      <c r="G11" s="15">
        <v>1.5200000000000002E-2</v>
      </c>
      <c r="H11" s="15">
        <v>2.7982999999999993</v>
      </c>
    </row>
  </sheetData>
  <pageMargins left="0.7" right="0.7" top="0.75" bottom="0.75" header="0.3" footer="0.3"/>
  <pageSetup paperSize="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57DC1-ECDE-428F-8EFC-2C7373EB67A6}">
  <sheetPr codeName="Sheet11"/>
  <dimension ref="A1:AS18"/>
  <sheetViews>
    <sheetView topLeftCell="A7" workbookViewId="0">
      <selection activeCell="D42" sqref="D42:D43"/>
    </sheetView>
  </sheetViews>
  <sheetFormatPr defaultColWidth="9.140625" defaultRowHeight="14.25" x14ac:dyDescent="0.25"/>
  <cols>
    <col min="1" max="1" width="20.140625" bestFit="1" customWidth="1"/>
    <col min="2" max="2" width="16.42578125" bestFit="1" customWidth="1"/>
    <col min="3" max="13" width="14.140625" bestFit="1" customWidth="1"/>
    <col min="14" max="14" width="15.140625" bestFit="1" customWidth="1"/>
    <col min="15" max="17" width="14.140625" bestFit="1" customWidth="1"/>
    <col min="18" max="21" width="15.140625" bestFit="1" customWidth="1"/>
    <col min="22" max="37" width="14.140625" bestFit="1" customWidth="1"/>
    <col min="38" max="38" width="15.140625" bestFit="1" customWidth="1"/>
    <col min="39" max="41" width="14.140625" bestFit="1" customWidth="1"/>
    <col min="42" max="42" width="15.140625" bestFit="1" customWidth="1"/>
    <col min="43" max="44" width="14.140625" bestFit="1" customWidth="1"/>
    <col min="45" max="45" width="11.42578125" bestFit="1" customWidth="1"/>
    <col min="46" max="58" width="15.140625" bestFit="1" customWidth="1"/>
    <col min="59" max="59" width="11.42578125" bestFit="1" customWidth="1"/>
    <col min="60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45" x14ac:dyDescent="0.25">
      <c r="A1" s="7" t="s">
        <v>13</v>
      </c>
      <c r="B1" t="s">
        <v>17</v>
      </c>
    </row>
    <row r="2" spans="1:45" x14ac:dyDescent="0.25">
      <c r="A2" s="7" t="s">
        <v>112</v>
      </c>
      <c r="B2" t="s">
        <v>105</v>
      </c>
    </row>
    <row r="4" spans="1:45" x14ac:dyDescent="0.25">
      <c r="A4" s="7" t="s">
        <v>113</v>
      </c>
      <c r="B4" s="7" t="s">
        <v>114</v>
      </c>
    </row>
    <row r="5" spans="1:45" x14ac:dyDescent="0.25">
      <c r="A5" s="7" t="s">
        <v>115</v>
      </c>
      <c r="B5" t="s">
        <v>18</v>
      </c>
      <c r="C5" t="s">
        <v>19</v>
      </c>
      <c r="D5" t="s">
        <v>20</v>
      </c>
      <c r="E5" t="s">
        <v>21</v>
      </c>
      <c r="F5" t="s">
        <v>22</v>
      </c>
      <c r="G5" t="s">
        <v>23</v>
      </c>
      <c r="H5" t="s">
        <v>24</v>
      </c>
      <c r="I5" t="s">
        <v>25</v>
      </c>
      <c r="J5" t="s">
        <v>26</v>
      </c>
      <c r="K5" t="s">
        <v>27</v>
      </c>
      <c r="L5" t="s">
        <v>31</v>
      </c>
      <c r="M5" t="s">
        <v>32</v>
      </c>
      <c r="N5" t="s">
        <v>33</v>
      </c>
      <c r="O5" t="s">
        <v>35</v>
      </c>
      <c r="P5" t="s">
        <v>37</v>
      </c>
      <c r="Q5" t="s">
        <v>34</v>
      </c>
      <c r="R5" t="s">
        <v>36</v>
      </c>
      <c r="S5" t="s">
        <v>38</v>
      </c>
      <c r="T5" t="s">
        <v>39</v>
      </c>
      <c r="U5" t="s">
        <v>40</v>
      </c>
      <c r="V5" t="s">
        <v>41</v>
      </c>
      <c r="W5" t="s">
        <v>42</v>
      </c>
      <c r="X5" t="s">
        <v>43</v>
      </c>
      <c r="Y5" t="s">
        <v>44</v>
      </c>
      <c r="Z5" t="s">
        <v>45</v>
      </c>
      <c r="AA5" t="s">
        <v>46</v>
      </c>
      <c r="AB5" t="s">
        <v>47</v>
      </c>
      <c r="AC5" t="s">
        <v>50</v>
      </c>
      <c r="AD5" t="s">
        <v>51</v>
      </c>
      <c r="AE5" t="s">
        <v>52</v>
      </c>
      <c r="AF5" t="s">
        <v>53</v>
      </c>
      <c r="AG5" t="s">
        <v>54</v>
      </c>
      <c r="AH5" t="s">
        <v>55</v>
      </c>
      <c r="AI5" t="s">
        <v>56</v>
      </c>
      <c r="AJ5" t="s">
        <v>57</v>
      </c>
      <c r="AK5" t="s">
        <v>61</v>
      </c>
      <c r="AL5" t="s">
        <v>68</v>
      </c>
      <c r="AM5" t="s">
        <v>69</v>
      </c>
      <c r="AN5" t="s">
        <v>71</v>
      </c>
      <c r="AO5" t="s">
        <v>73</v>
      </c>
      <c r="AP5" t="s">
        <v>76</v>
      </c>
      <c r="AQ5" t="s">
        <v>80</v>
      </c>
      <c r="AR5" t="s">
        <v>81</v>
      </c>
      <c r="AS5" t="s">
        <v>116</v>
      </c>
    </row>
    <row r="6" spans="1:45" x14ac:dyDescent="0.25">
      <c r="A6" s="8">
        <v>0</v>
      </c>
      <c r="B6" s="15"/>
      <c r="C6" s="15"/>
      <c r="D6" s="15">
        <v>0</v>
      </c>
      <c r="E6" s="15">
        <v>0</v>
      </c>
      <c r="F6" s="15"/>
      <c r="G6" s="15"/>
      <c r="H6" s="15"/>
      <c r="I6" s="15"/>
      <c r="J6" s="15">
        <v>0</v>
      </c>
      <c r="K6" s="15"/>
      <c r="L6" s="15"/>
      <c r="M6" s="15">
        <v>0</v>
      </c>
      <c r="N6" s="15"/>
      <c r="O6" s="15">
        <v>0</v>
      </c>
      <c r="P6" s="15"/>
      <c r="Q6" s="15">
        <v>0</v>
      </c>
      <c r="R6" s="15"/>
      <c r="S6" s="15"/>
      <c r="T6" s="15"/>
      <c r="U6" s="15"/>
      <c r="V6" s="15"/>
      <c r="W6" s="15"/>
      <c r="X6" s="15"/>
      <c r="Y6" s="15">
        <v>0</v>
      </c>
      <c r="Z6" s="15">
        <v>0</v>
      </c>
      <c r="AA6" s="15">
        <v>0</v>
      </c>
      <c r="AB6" s="15"/>
      <c r="AC6" s="15"/>
      <c r="AD6" s="15"/>
      <c r="AE6" s="15"/>
      <c r="AF6" s="15">
        <v>0</v>
      </c>
      <c r="AG6" s="15"/>
      <c r="AH6" s="15"/>
      <c r="AI6" s="15">
        <v>0</v>
      </c>
      <c r="AJ6" s="15"/>
      <c r="AK6" s="15"/>
      <c r="AL6" s="15"/>
      <c r="AM6" s="15"/>
      <c r="AN6" s="15"/>
      <c r="AO6" s="15"/>
      <c r="AP6" s="15"/>
      <c r="AQ6" s="15"/>
      <c r="AR6" s="15"/>
      <c r="AS6" s="15">
        <v>0</v>
      </c>
    </row>
    <row r="7" spans="1:45" x14ac:dyDescent="0.25">
      <c r="A7" s="8">
        <v>1</v>
      </c>
      <c r="B7" s="15"/>
      <c r="C7" s="15"/>
      <c r="D7" s="15">
        <v>3.5730000000000005E-2</v>
      </c>
      <c r="E7" s="15">
        <v>1.9200000000000002E-2</v>
      </c>
      <c r="F7" s="15">
        <v>2.0639999999999999E-2</v>
      </c>
      <c r="G7" s="15">
        <v>5.4799999999999996E-3</v>
      </c>
      <c r="H7" s="15"/>
      <c r="I7" s="15">
        <v>1.068E-2</v>
      </c>
      <c r="J7" s="15"/>
      <c r="K7" s="15"/>
      <c r="L7" s="15">
        <v>1.7100000000000001E-2</v>
      </c>
      <c r="M7" s="15">
        <v>8.9639999999999984E-2</v>
      </c>
      <c r="N7" s="15"/>
      <c r="O7" s="15">
        <v>0.5376000000000023</v>
      </c>
      <c r="P7" s="15">
        <v>5.7299999999999999E-3</v>
      </c>
      <c r="Q7" s="15">
        <v>5.994E-2</v>
      </c>
      <c r="R7" s="15">
        <v>9.0900000000000009E-2</v>
      </c>
      <c r="S7" s="15"/>
      <c r="T7" s="15">
        <v>3.56E-2</v>
      </c>
      <c r="U7" s="15">
        <v>1.29E-2</v>
      </c>
      <c r="V7" s="15">
        <v>8.5599999999999999E-3</v>
      </c>
      <c r="W7" s="15"/>
      <c r="X7" s="15"/>
      <c r="Y7" s="15">
        <v>1.7950000000000001E-2</v>
      </c>
      <c r="Z7" s="15">
        <v>3.5099999999999999E-2</v>
      </c>
      <c r="AA7" s="15">
        <v>9.6000000000000009E-3</v>
      </c>
      <c r="AB7" s="15">
        <v>3.3439999999999998E-2</v>
      </c>
      <c r="AC7" s="15"/>
      <c r="AD7" s="15"/>
      <c r="AE7" s="15">
        <v>9.4500000000000001E-3</v>
      </c>
      <c r="AF7" s="15">
        <v>0.12996000000000005</v>
      </c>
      <c r="AG7" s="15"/>
      <c r="AH7" s="15"/>
      <c r="AI7" s="15">
        <v>3.16E-3</v>
      </c>
      <c r="AJ7" s="15">
        <v>5.8599999999999998E-3</v>
      </c>
      <c r="AK7" s="15">
        <v>9.9399999999999992E-3</v>
      </c>
      <c r="AL7" s="15"/>
      <c r="AM7" s="15">
        <v>3.4380000000000001E-2</v>
      </c>
      <c r="AN7" s="15"/>
      <c r="AO7" s="15"/>
      <c r="AP7" s="15"/>
      <c r="AQ7" s="15"/>
      <c r="AR7" s="15"/>
      <c r="AS7" s="15">
        <v>1.2385400000000024</v>
      </c>
    </row>
    <row r="8" spans="1:45" x14ac:dyDescent="0.25">
      <c r="A8" s="8">
        <v>2</v>
      </c>
      <c r="B8" s="15"/>
      <c r="C8" s="15">
        <v>1.2239999999999999E-2</v>
      </c>
      <c r="D8" s="15">
        <v>3.9699999999999999E-2</v>
      </c>
      <c r="E8" s="15">
        <v>1.2800000000000001E-2</v>
      </c>
      <c r="F8" s="15">
        <v>1.376E-2</v>
      </c>
      <c r="G8" s="15">
        <v>2.1919999999999999E-2</v>
      </c>
      <c r="H8" s="15">
        <v>0.15</v>
      </c>
      <c r="I8" s="15">
        <v>1.068E-2</v>
      </c>
      <c r="J8" s="15">
        <v>1.452E-2</v>
      </c>
      <c r="K8" s="15">
        <v>3.5220000000000001E-2</v>
      </c>
      <c r="L8" s="15">
        <v>3.4200000000000001E-2</v>
      </c>
      <c r="M8" s="15">
        <v>0.26891999999999999</v>
      </c>
      <c r="N8" s="15">
        <v>0.124</v>
      </c>
      <c r="O8" s="15">
        <v>2.3632000000000017</v>
      </c>
      <c r="P8" s="15">
        <v>2.2919999999999999E-2</v>
      </c>
      <c r="Q8" s="15">
        <v>5.3280000000000001E-2</v>
      </c>
      <c r="R8" s="15">
        <v>6.0600000000000001E-2</v>
      </c>
      <c r="S8" s="15">
        <v>0.60420000000000018</v>
      </c>
      <c r="T8" s="15">
        <v>3.56E-2</v>
      </c>
      <c r="U8" s="15">
        <v>0.25799999999999995</v>
      </c>
      <c r="V8" s="15"/>
      <c r="W8" s="15">
        <v>2.1000000000000001E-2</v>
      </c>
      <c r="X8" s="15"/>
      <c r="Y8" s="15"/>
      <c r="Z8" s="15"/>
      <c r="AA8" s="15">
        <v>6.4000000000000003E-3</v>
      </c>
      <c r="AB8" s="15">
        <v>9.1960000000000014E-2</v>
      </c>
      <c r="AC8" s="15">
        <v>4.2099999999999999E-2</v>
      </c>
      <c r="AD8" s="15"/>
      <c r="AE8" s="15"/>
      <c r="AF8" s="15">
        <v>0.32490000000000013</v>
      </c>
      <c r="AG8" s="15">
        <v>1.8919999999999999E-2</v>
      </c>
      <c r="AH8" s="15">
        <v>6.096E-2</v>
      </c>
      <c r="AI8" s="15">
        <v>6.3200000000000001E-3</v>
      </c>
      <c r="AJ8" s="15">
        <v>9.3759999999999982E-2</v>
      </c>
      <c r="AK8" s="15">
        <v>9.9400000000000002E-2</v>
      </c>
      <c r="AL8" s="15"/>
      <c r="AM8" s="15">
        <v>3.056E-2</v>
      </c>
      <c r="AN8" s="15"/>
      <c r="AO8" s="15"/>
      <c r="AP8" s="15"/>
      <c r="AQ8" s="15"/>
      <c r="AR8" s="15"/>
      <c r="AS8" s="15">
        <v>4.9320400000000015</v>
      </c>
    </row>
    <row r="9" spans="1:45" x14ac:dyDescent="0.25">
      <c r="A9" s="8">
        <v>3</v>
      </c>
      <c r="B9" s="15">
        <v>0.1134</v>
      </c>
      <c r="C9" s="15">
        <v>7.3439999999999991E-2</v>
      </c>
      <c r="D9" s="15">
        <v>0.20247000000000004</v>
      </c>
      <c r="E9" s="15">
        <v>1.9200000000000002E-2</v>
      </c>
      <c r="F9" s="15">
        <v>0.16511999999999996</v>
      </c>
      <c r="G9" s="15">
        <v>1.644E-2</v>
      </c>
      <c r="H9" s="15"/>
      <c r="I9" s="15">
        <v>0.12816000000000002</v>
      </c>
      <c r="J9" s="15">
        <v>6.5340000000000009E-2</v>
      </c>
      <c r="K9" s="15">
        <v>3.5220000000000001E-2</v>
      </c>
      <c r="L9" s="15">
        <v>0.12825</v>
      </c>
      <c r="M9" s="15">
        <v>0.47808000000000017</v>
      </c>
      <c r="N9" s="15">
        <v>0.32549999999999996</v>
      </c>
      <c r="O9" s="15">
        <v>2.5871999999999913</v>
      </c>
      <c r="P9" s="15">
        <v>5.1570000000000005E-2</v>
      </c>
      <c r="Q9" s="15">
        <v>0.47952</v>
      </c>
      <c r="R9" s="15"/>
      <c r="S9" s="15">
        <v>0.19080000000000003</v>
      </c>
      <c r="T9" s="15"/>
      <c r="U9" s="15"/>
      <c r="V9" s="15">
        <v>2.5680000000000001E-2</v>
      </c>
      <c r="W9" s="15">
        <v>6.3E-2</v>
      </c>
      <c r="X9" s="15">
        <v>1.9470000000000001E-2</v>
      </c>
      <c r="Y9" s="15">
        <v>2.154E-2</v>
      </c>
      <c r="Z9" s="15"/>
      <c r="AA9" s="15">
        <v>0.22079999999999997</v>
      </c>
      <c r="AB9" s="15">
        <v>0.13793999999999998</v>
      </c>
      <c r="AC9" s="15">
        <v>2.5260000000000001E-2</v>
      </c>
      <c r="AD9" s="15">
        <v>0.1575</v>
      </c>
      <c r="AE9" s="15"/>
      <c r="AF9" s="15">
        <v>0.40071000000000018</v>
      </c>
      <c r="AG9" s="15">
        <v>0.22703999999999996</v>
      </c>
      <c r="AH9" s="15"/>
      <c r="AI9" s="15">
        <v>7.5840000000000005E-2</v>
      </c>
      <c r="AJ9" s="15">
        <v>0.22853999999999991</v>
      </c>
      <c r="AK9" s="15">
        <v>0.46220999999999979</v>
      </c>
      <c r="AL9" s="15"/>
      <c r="AM9" s="15">
        <v>1.146E-2</v>
      </c>
      <c r="AN9" s="15">
        <v>0.17955000000000002</v>
      </c>
      <c r="AO9" s="15">
        <v>3.1199999999999999E-2</v>
      </c>
      <c r="AP9" s="15"/>
      <c r="AQ9" s="15"/>
      <c r="AR9" s="15"/>
      <c r="AS9" s="15">
        <v>7.3474499999999914</v>
      </c>
    </row>
    <row r="10" spans="1:45" x14ac:dyDescent="0.25">
      <c r="A10" s="8">
        <v>4</v>
      </c>
      <c r="B10" s="15">
        <v>0.1134</v>
      </c>
      <c r="C10" s="15"/>
      <c r="D10" s="15">
        <v>7.9399999999999998E-2</v>
      </c>
      <c r="E10" s="15">
        <v>8.9600000000000013E-2</v>
      </c>
      <c r="F10" s="15">
        <v>8.2559999999999995E-2</v>
      </c>
      <c r="G10" s="15">
        <v>8.7679999999999994E-2</v>
      </c>
      <c r="H10" s="15">
        <v>0.05</v>
      </c>
      <c r="I10" s="15"/>
      <c r="J10" s="15">
        <v>0.1452</v>
      </c>
      <c r="K10" s="15">
        <v>7.0440000000000003E-2</v>
      </c>
      <c r="L10" s="15"/>
      <c r="M10" s="15">
        <v>0.61752000000000018</v>
      </c>
      <c r="N10" s="15">
        <v>0.372</v>
      </c>
      <c r="O10" s="15">
        <v>0.44799999999999968</v>
      </c>
      <c r="P10" s="15">
        <v>9.1679999999999998E-2</v>
      </c>
      <c r="Q10" s="15">
        <v>0.15984000000000001</v>
      </c>
      <c r="R10" s="15"/>
      <c r="S10" s="15">
        <v>0.50880000000000003</v>
      </c>
      <c r="T10" s="15">
        <v>7.1199999999999999E-2</v>
      </c>
      <c r="U10" s="15">
        <v>0.82559999999999978</v>
      </c>
      <c r="V10" s="15">
        <v>6.8479999999999999E-2</v>
      </c>
      <c r="W10" s="15">
        <v>4.2000000000000003E-2</v>
      </c>
      <c r="X10" s="15">
        <v>5.1920000000000001E-2</v>
      </c>
      <c r="Y10" s="15">
        <v>0.17232000000000003</v>
      </c>
      <c r="Z10" s="15">
        <v>9.3600000000000003E-2</v>
      </c>
      <c r="AA10" s="15">
        <v>6.4000000000000001E-2</v>
      </c>
      <c r="AB10" s="15">
        <v>1.6719999999999999E-2</v>
      </c>
      <c r="AC10" s="15">
        <v>6.7360000000000003E-2</v>
      </c>
      <c r="AD10" s="15">
        <v>4.2000000000000003E-2</v>
      </c>
      <c r="AE10" s="15"/>
      <c r="AF10" s="15">
        <v>5.7759999999999999E-2</v>
      </c>
      <c r="AG10" s="15">
        <v>3.7839999999999999E-2</v>
      </c>
      <c r="AH10" s="15">
        <v>0.21336000000000002</v>
      </c>
      <c r="AI10" s="15">
        <v>0.22752000000000011</v>
      </c>
      <c r="AJ10" s="15">
        <v>0.32816000000000001</v>
      </c>
      <c r="AK10" s="15">
        <v>0.27832000000000001</v>
      </c>
      <c r="AL10" s="15">
        <v>0.25800000000000001</v>
      </c>
      <c r="AM10" s="15"/>
      <c r="AN10" s="15"/>
      <c r="AO10" s="15"/>
      <c r="AP10" s="15"/>
      <c r="AQ10" s="15"/>
      <c r="AR10" s="15">
        <v>3.0599999999999999E-2</v>
      </c>
      <c r="AS10" s="15">
        <v>5.8628799999999988</v>
      </c>
    </row>
    <row r="11" spans="1:45" x14ac:dyDescent="0.25">
      <c r="A11" s="8">
        <v>5</v>
      </c>
      <c r="B11" s="15">
        <v>4.725E-2</v>
      </c>
      <c r="C11" s="15"/>
      <c r="D11" s="15">
        <v>0.23820000000000005</v>
      </c>
      <c r="E11" s="15">
        <v>1.6E-2</v>
      </c>
      <c r="F11" s="15">
        <v>3.44E-2</v>
      </c>
      <c r="G11" s="15">
        <v>5.4799999999999995E-2</v>
      </c>
      <c r="H11" s="15">
        <v>6.25E-2</v>
      </c>
      <c r="I11" s="15"/>
      <c r="J11" s="15">
        <v>3.6299999999999999E-2</v>
      </c>
      <c r="K11" s="15"/>
      <c r="L11" s="15"/>
      <c r="M11" s="15">
        <v>0.1245</v>
      </c>
      <c r="N11" s="15">
        <v>1.1624999999999999</v>
      </c>
      <c r="O11" s="15">
        <v>0.60200000000000042</v>
      </c>
      <c r="P11" s="15">
        <v>0.11459999999999999</v>
      </c>
      <c r="Q11" s="15"/>
      <c r="R11" s="15">
        <v>1.8179999999999998</v>
      </c>
      <c r="S11" s="15"/>
      <c r="T11" s="15">
        <v>8.8999999999999996E-2</v>
      </c>
      <c r="U11" s="15"/>
      <c r="V11" s="15">
        <v>0.25679999999999997</v>
      </c>
      <c r="W11" s="15">
        <v>5.2500000000000005E-2</v>
      </c>
      <c r="X11" s="15">
        <v>0.38939999999999991</v>
      </c>
      <c r="Y11" s="15">
        <v>1.1846999999999999</v>
      </c>
      <c r="Z11" s="15">
        <v>5.8500000000000003E-2</v>
      </c>
      <c r="AA11" s="15">
        <v>1.6E-2</v>
      </c>
      <c r="AB11" s="15">
        <v>0.18809999999999999</v>
      </c>
      <c r="AC11" s="15">
        <v>4.2099999999999999E-2</v>
      </c>
      <c r="AD11" s="15">
        <v>0.26250000000000001</v>
      </c>
      <c r="AE11" s="15">
        <v>0.14174999999999999</v>
      </c>
      <c r="AF11" s="15"/>
      <c r="AG11" s="15"/>
      <c r="AH11" s="15">
        <v>0.45720000000000011</v>
      </c>
      <c r="AI11" s="15">
        <v>0.316</v>
      </c>
      <c r="AJ11" s="15"/>
      <c r="AK11" s="15"/>
      <c r="AL11" s="15">
        <v>0.45150000000000001</v>
      </c>
      <c r="AM11" s="15">
        <v>3.8199999999999998E-2</v>
      </c>
      <c r="AN11" s="15">
        <v>4.2750000000000003E-2</v>
      </c>
      <c r="AO11" s="15"/>
      <c r="AP11" s="15"/>
      <c r="AQ11" s="15"/>
      <c r="AR11" s="15">
        <v>0.11474999999999999</v>
      </c>
      <c r="AS11" s="15">
        <v>8.4128000000000007</v>
      </c>
    </row>
    <row r="12" spans="1:45" x14ac:dyDescent="0.25">
      <c r="A12" s="8">
        <v>6</v>
      </c>
      <c r="B12" s="15">
        <v>0.2268</v>
      </c>
      <c r="C12" s="15"/>
      <c r="D12" s="15"/>
      <c r="E12" s="15"/>
      <c r="F12" s="15">
        <v>4.1279999999999997E-2</v>
      </c>
      <c r="G12" s="15"/>
      <c r="H12" s="15">
        <v>7.5000000000000011E-2</v>
      </c>
      <c r="I12" s="15">
        <v>6.4079999999999998E-2</v>
      </c>
      <c r="J12" s="15">
        <v>8.7120000000000003E-2</v>
      </c>
      <c r="K12" s="15"/>
      <c r="L12" s="15">
        <v>5.1299999999999998E-2</v>
      </c>
      <c r="M12" s="15">
        <v>0.80676000000000025</v>
      </c>
      <c r="N12" s="15">
        <v>1.2089999999999999</v>
      </c>
      <c r="O12" s="15">
        <v>5.04E-2</v>
      </c>
      <c r="P12" s="15">
        <v>0.44694000000000011</v>
      </c>
      <c r="Q12" s="15">
        <v>0.31968000000000002</v>
      </c>
      <c r="R12" s="15">
        <v>0.72720000000000007</v>
      </c>
      <c r="S12" s="15">
        <v>0.28620000000000001</v>
      </c>
      <c r="T12" s="15">
        <v>0.10680000000000001</v>
      </c>
      <c r="U12" s="15">
        <v>0.46440000000000003</v>
      </c>
      <c r="V12" s="15">
        <v>0.15407999999999999</v>
      </c>
      <c r="W12" s="15"/>
      <c r="X12" s="15"/>
      <c r="Y12" s="15">
        <v>0.19386</v>
      </c>
      <c r="Z12" s="15"/>
      <c r="AA12" s="15"/>
      <c r="AB12" s="15">
        <v>2.0565599999999997</v>
      </c>
      <c r="AC12" s="15">
        <v>2.5260000000000001E-2</v>
      </c>
      <c r="AD12" s="15">
        <v>0.56699999999999995</v>
      </c>
      <c r="AE12" s="15">
        <v>0.2268</v>
      </c>
      <c r="AF12" s="15">
        <v>4.3319999999999997E-2</v>
      </c>
      <c r="AG12" s="15">
        <v>0.11352</v>
      </c>
      <c r="AH12" s="15">
        <v>0.22859999999999997</v>
      </c>
      <c r="AI12" s="15">
        <v>7.5840000000000005E-2</v>
      </c>
      <c r="AJ12" s="15"/>
      <c r="AK12" s="15">
        <v>0.11928</v>
      </c>
      <c r="AL12" s="15"/>
      <c r="AM12" s="15"/>
      <c r="AN12" s="15">
        <v>0.1026</v>
      </c>
      <c r="AO12" s="15">
        <v>6.2399999999999997E-2</v>
      </c>
      <c r="AP12" s="15"/>
      <c r="AQ12" s="15"/>
      <c r="AR12" s="15"/>
      <c r="AS12" s="15">
        <v>8.9320800000000009</v>
      </c>
    </row>
    <row r="13" spans="1:45" x14ac:dyDescent="0.25">
      <c r="A13" s="8">
        <v>7</v>
      </c>
      <c r="B13" s="15">
        <v>1.8521999999999994</v>
      </c>
      <c r="C13" s="15">
        <v>1.02816</v>
      </c>
      <c r="D13" s="15"/>
      <c r="E13" s="15"/>
      <c r="F13" s="15">
        <v>4.8160000000000001E-2</v>
      </c>
      <c r="G13" s="15">
        <v>7.6719999999999997E-2</v>
      </c>
      <c r="H13" s="15">
        <v>0.26250000000000001</v>
      </c>
      <c r="I13" s="15">
        <v>7.4760000000000007E-2</v>
      </c>
      <c r="J13" s="15">
        <v>2.0328000000000013</v>
      </c>
      <c r="K13" s="15">
        <v>1.0272499999999998</v>
      </c>
      <c r="L13" s="15">
        <v>0.71819999999999995</v>
      </c>
      <c r="M13" s="15">
        <v>6.6931200000000182</v>
      </c>
      <c r="N13" s="15">
        <v>4.2314999999999978</v>
      </c>
      <c r="O13" s="15">
        <v>7.8399999999999997E-2</v>
      </c>
      <c r="P13" s="15">
        <v>0.64175999999999989</v>
      </c>
      <c r="Q13" s="15">
        <v>3.3566399999999987</v>
      </c>
      <c r="R13" s="15">
        <v>6.9993000000000052</v>
      </c>
      <c r="S13" s="15">
        <v>0.66779999999999995</v>
      </c>
      <c r="T13" s="15">
        <v>0.49840000000000001</v>
      </c>
      <c r="U13" s="15">
        <v>1.0836000000000003</v>
      </c>
      <c r="V13" s="15">
        <v>0.35951999999999995</v>
      </c>
      <c r="W13" s="15">
        <v>0.51450000000000007</v>
      </c>
      <c r="X13" s="15">
        <v>0.63601999999999981</v>
      </c>
      <c r="Y13" s="15">
        <v>0.40207999999999983</v>
      </c>
      <c r="Z13" s="15">
        <v>1.1465999999999998</v>
      </c>
      <c r="AA13" s="15"/>
      <c r="AB13" s="15">
        <v>5.3545799999999835</v>
      </c>
      <c r="AC13" s="15">
        <v>0.79569000000000001</v>
      </c>
      <c r="AD13" s="15">
        <v>0.80850000000000011</v>
      </c>
      <c r="AE13" s="15">
        <v>0.2646</v>
      </c>
      <c r="AF13" s="15">
        <v>2.5270000000000001E-2</v>
      </c>
      <c r="AG13" s="15">
        <v>0.46354000000000001</v>
      </c>
      <c r="AH13" s="15">
        <v>3.4137599999999972</v>
      </c>
      <c r="AI13" s="15">
        <v>0.1106</v>
      </c>
      <c r="AJ13" s="15">
        <v>0.41020000000000001</v>
      </c>
      <c r="AK13" s="15">
        <v>1.11328</v>
      </c>
      <c r="AL13" s="15">
        <v>1.2642000000000004</v>
      </c>
      <c r="AM13" s="15">
        <v>5.348E-2</v>
      </c>
      <c r="AN13" s="15">
        <v>0.41895000000000004</v>
      </c>
      <c r="AO13" s="15">
        <v>0.65519999999999989</v>
      </c>
      <c r="AP13" s="15">
        <v>0.11130000000000001</v>
      </c>
      <c r="AQ13" s="15">
        <v>0.62790000000000001</v>
      </c>
      <c r="AR13" s="15">
        <v>0.64259999999999995</v>
      </c>
      <c r="AS13" s="15">
        <v>50.963640000000012</v>
      </c>
    </row>
    <row r="14" spans="1:45" x14ac:dyDescent="0.25">
      <c r="A14" s="8">
        <v>8</v>
      </c>
      <c r="B14" s="15"/>
      <c r="C14" s="15">
        <v>4.8959999999999997E-2</v>
      </c>
      <c r="D14" s="15"/>
      <c r="E14" s="15"/>
      <c r="F14" s="15"/>
      <c r="G14" s="15"/>
      <c r="H14" s="15"/>
      <c r="I14" s="15">
        <v>0.12816</v>
      </c>
      <c r="J14" s="15">
        <v>0.11616</v>
      </c>
      <c r="K14" s="15">
        <v>0.51656000000000002</v>
      </c>
      <c r="L14" s="15">
        <v>0.1368</v>
      </c>
      <c r="M14" s="15"/>
      <c r="N14" s="15">
        <v>0.248</v>
      </c>
      <c r="O14" s="15"/>
      <c r="P14" s="15"/>
      <c r="Q14" s="15"/>
      <c r="R14" s="15">
        <v>1.212</v>
      </c>
      <c r="S14" s="15">
        <v>0.12720000000000001</v>
      </c>
      <c r="T14" s="15">
        <v>0.1424</v>
      </c>
      <c r="U14" s="15"/>
      <c r="V14" s="15"/>
      <c r="W14" s="15"/>
      <c r="X14" s="15"/>
      <c r="Y14" s="15"/>
      <c r="Z14" s="15">
        <v>0.6552</v>
      </c>
      <c r="AA14" s="15"/>
      <c r="AB14" s="15"/>
      <c r="AC14" s="15"/>
      <c r="AD14" s="15">
        <v>0.33600000000000002</v>
      </c>
      <c r="AE14" s="15"/>
      <c r="AF14" s="15"/>
      <c r="AG14" s="15"/>
      <c r="AH14" s="15"/>
      <c r="AI14" s="15"/>
      <c r="AJ14" s="15">
        <v>0.46879999999999988</v>
      </c>
      <c r="AK14" s="15">
        <v>0.79520000000000013</v>
      </c>
      <c r="AL14" s="15">
        <v>0.1032</v>
      </c>
      <c r="AM14" s="15"/>
      <c r="AN14" s="15"/>
      <c r="AO14" s="15">
        <v>0.91519999999999979</v>
      </c>
      <c r="AP14" s="15"/>
      <c r="AQ14" s="15"/>
      <c r="AR14" s="15"/>
      <c r="AS14" s="15">
        <v>5.9498400000000009</v>
      </c>
    </row>
    <row r="15" spans="1:45" x14ac:dyDescent="0.25">
      <c r="A15" s="8">
        <v>9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>
        <v>0.11988</v>
      </c>
      <c r="R15" s="15">
        <v>1.3634999999999999</v>
      </c>
      <c r="S15" s="15">
        <v>0.1431</v>
      </c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>
        <v>0.189</v>
      </c>
      <c r="AE15" s="15">
        <v>0.1701</v>
      </c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>
        <v>1.5741000000000001</v>
      </c>
      <c r="AQ15" s="15"/>
      <c r="AR15" s="15"/>
      <c r="AS15" s="15">
        <v>3.5596800000000002</v>
      </c>
    </row>
    <row r="16" spans="1:45" x14ac:dyDescent="0.25">
      <c r="A16" s="8">
        <v>10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>
        <v>6.6600000000000006E-2</v>
      </c>
      <c r="R16" s="15">
        <v>1.212</v>
      </c>
      <c r="S16" s="15"/>
      <c r="T16" s="15"/>
      <c r="U16" s="15"/>
      <c r="V16" s="15"/>
      <c r="W16" s="15"/>
      <c r="X16" s="15"/>
      <c r="Y16" s="15"/>
      <c r="Z16" s="15">
        <v>0.11700000000000001</v>
      </c>
      <c r="AA16" s="15"/>
      <c r="AB16" s="15"/>
      <c r="AC16" s="15"/>
      <c r="AD16" s="15"/>
      <c r="AE16" s="15"/>
      <c r="AF16" s="15"/>
      <c r="AG16" s="15">
        <v>0.47299999999999998</v>
      </c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>
        <v>1.8685999999999998</v>
      </c>
    </row>
    <row r="17" spans="1:45" x14ac:dyDescent="0.25">
      <c r="A17" s="8">
        <v>11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>
        <v>0.3916</v>
      </c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>
        <v>0.3916</v>
      </c>
    </row>
    <row r="18" spans="1:45" x14ac:dyDescent="0.25">
      <c r="A18" s="8" t="s">
        <v>116</v>
      </c>
      <c r="B18" s="15">
        <v>2.3530499999999996</v>
      </c>
      <c r="C18" s="15">
        <v>1.1627999999999998</v>
      </c>
      <c r="D18" s="15">
        <v>0.59550000000000014</v>
      </c>
      <c r="E18" s="15">
        <v>0.15679999999999999</v>
      </c>
      <c r="F18" s="15">
        <v>0.40591999999999995</v>
      </c>
      <c r="G18" s="15">
        <v>0.26304</v>
      </c>
      <c r="H18" s="15">
        <v>0.60000000000000009</v>
      </c>
      <c r="I18" s="15">
        <v>0.41652</v>
      </c>
      <c r="J18" s="15">
        <v>2.497440000000001</v>
      </c>
      <c r="K18" s="15">
        <v>1.6846899999999998</v>
      </c>
      <c r="L18" s="15">
        <v>1.08585</v>
      </c>
      <c r="M18" s="15">
        <v>9.078540000000018</v>
      </c>
      <c r="N18" s="15">
        <v>7.6724999999999977</v>
      </c>
      <c r="O18" s="15">
        <v>6.666799999999995</v>
      </c>
      <c r="P18" s="15">
        <v>1.3752</v>
      </c>
      <c r="Q18" s="15">
        <v>4.6153799999999991</v>
      </c>
      <c r="R18" s="15">
        <v>13.483500000000005</v>
      </c>
      <c r="S18" s="15">
        <v>2.5281000000000007</v>
      </c>
      <c r="T18" s="15">
        <v>1.3706</v>
      </c>
      <c r="U18" s="15">
        <v>2.6444999999999999</v>
      </c>
      <c r="V18" s="15">
        <v>0.8731199999999999</v>
      </c>
      <c r="W18" s="15">
        <v>0.69300000000000006</v>
      </c>
      <c r="X18" s="15">
        <v>1.0968099999999996</v>
      </c>
      <c r="Y18" s="15">
        <v>1.9924499999999996</v>
      </c>
      <c r="Z18" s="15">
        <v>2.1059999999999999</v>
      </c>
      <c r="AA18" s="15">
        <v>0.31679999999999997</v>
      </c>
      <c r="AB18" s="15">
        <v>7.8792999999999829</v>
      </c>
      <c r="AC18" s="15">
        <v>0.99777000000000005</v>
      </c>
      <c r="AD18" s="15">
        <v>2.3624999999999998</v>
      </c>
      <c r="AE18" s="15">
        <v>0.81270000000000009</v>
      </c>
      <c r="AF18" s="15">
        <v>0.98192000000000046</v>
      </c>
      <c r="AG18" s="15">
        <v>1.33386</v>
      </c>
      <c r="AH18" s="15">
        <v>4.3738799999999971</v>
      </c>
      <c r="AI18" s="15">
        <v>0.81528000000000012</v>
      </c>
      <c r="AJ18" s="15">
        <v>1.5353199999999998</v>
      </c>
      <c r="AK18" s="15">
        <v>2.8776299999999999</v>
      </c>
      <c r="AL18" s="15">
        <v>2.0769000000000006</v>
      </c>
      <c r="AM18" s="15">
        <v>0.16808000000000001</v>
      </c>
      <c r="AN18" s="15">
        <v>0.74385000000000012</v>
      </c>
      <c r="AO18" s="15">
        <v>1.6639999999999997</v>
      </c>
      <c r="AP18" s="15">
        <v>1.6854</v>
      </c>
      <c r="AQ18" s="15">
        <v>0.62790000000000001</v>
      </c>
      <c r="AR18" s="15">
        <v>0.78794999999999993</v>
      </c>
      <c r="AS18" s="15">
        <v>99.459150000000008</v>
      </c>
    </row>
  </sheetData>
  <pageMargins left="0.7" right="0.7" top="0.75" bottom="0.75" header="0.3" footer="0.3"/>
  <pageSetup paperSize="9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302df7f-88d7-4de7-95a7-124321c940f0">
      <Terms xmlns="http://schemas.microsoft.com/office/infopath/2007/PartnerControls"/>
    </lcf76f155ced4ddcb4097134ff3c332f>
    <TaxCatchAll xmlns="8f7a92c5-f891-48be-92b1-40f67a03cf11" xsi:nil="true"/>
    <LikesCount xmlns="http://schemas.microsoft.com/sharepoint/v3" xsi:nil="true"/>
    <Idea_x0020_Category xmlns="1302df7f-88d7-4de7-95a7-124321c940f0" xsi:nil="true"/>
    <Status xmlns="1302df7f-88d7-4de7-95a7-124321c940f0">In Planning</Status>
    <CompletedLocation xmlns="1302df7f-88d7-4de7-95a7-124321c940f0" xsi:nil="true"/>
    <Review_x0020_Comments xmlns="1302df7f-88d7-4de7-95a7-124321c940f0" xsi:nil="true"/>
    <Ratings xmlns="http://schemas.microsoft.com/sharepoint/v3" xsi:nil="true"/>
    <Reviewer xmlns="1302df7f-88d7-4de7-95a7-124321c940f0">
      <UserInfo>
        <DisplayName/>
        <AccountId xsi:nil="true"/>
        <AccountType/>
      </UserInfo>
    </Reviewer>
    <People xmlns="1302df7f-88d7-4de7-95a7-124321c940f0">
      <UserInfo>
        <DisplayName/>
        <AccountId xsi:nil="true"/>
        <AccountType/>
      </UserInfo>
    </People>
    <Funding_x0020_Source xmlns="1302df7f-88d7-4de7-95a7-124321c940f0">Project</Funding_x0020_Source>
    <Output xmlns="1302df7f-88d7-4de7-95a7-124321c940f0" xsi:nil="true"/>
    <d05f63ba40984deab913011dba1cabd4 xmlns="1302df7f-88d7-4de7-95a7-124321c940f0">
      <Terms xmlns="http://schemas.microsoft.com/office/infopath/2007/PartnerControls"/>
    </d05f63ba40984deab913011dba1cabd4>
    <LikedBy xmlns="http://schemas.microsoft.com/sharepoint/v3">
      <UserInfo>
        <DisplayName/>
        <AccountId xsi:nil="true"/>
        <AccountType/>
      </UserInfo>
    </LikedBy>
    <bcad1085fac14b0d9956f4d9e66a8447 xmlns="1302df7f-88d7-4de7-95a7-124321c940f0">
      <Terms xmlns="http://schemas.microsoft.com/office/infopath/2007/PartnerControls"/>
    </bcad1085fac14b0d9956f4d9e66a8447>
    <Date xmlns="1302df7f-88d7-4de7-95a7-124321c940f0" xsi:nil="true"/>
    <Description0 xmlns="1302df7f-88d7-4de7-95a7-124321c940f0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67435D7FBBBA47ADFC347CB144427F" ma:contentTypeVersion="43" ma:contentTypeDescription="Create a new document." ma:contentTypeScope="" ma:versionID="84c613b500e64041affc2b9e2cae1181">
  <xsd:schema xmlns:xsd="http://www.w3.org/2001/XMLSchema" xmlns:xs="http://www.w3.org/2001/XMLSchema" xmlns:p="http://schemas.microsoft.com/office/2006/metadata/properties" xmlns:ns1="http://schemas.microsoft.com/sharepoint/v3" xmlns:ns2="1302df7f-88d7-4de7-95a7-124321c940f0" xmlns:ns3="8f7a92c5-f891-48be-92b1-40f67a03cf11" xmlns:ns4="7d1875c7-ea51-4db7-9f6e-d358eeae476c" targetNamespace="http://schemas.microsoft.com/office/2006/metadata/properties" ma:root="true" ma:fieldsID="94dd2cd12305ef1464580675ff802ffd" ns1:_="" ns2:_="" ns3:_="" ns4:_="">
    <xsd:import namespace="http://schemas.microsoft.com/sharepoint/v3"/>
    <xsd:import namespace="1302df7f-88d7-4de7-95a7-124321c940f0"/>
    <xsd:import namespace="8f7a92c5-f891-48be-92b1-40f67a03cf11"/>
    <xsd:import namespace="7d1875c7-ea51-4db7-9f6e-d358eeae476c"/>
    <xsd:element name="properties">
      <xsd:complexType>
        <xsd:sequence>
          <xsd:element name="documentManagement">
            <xsd:complexType>
              <xsd:all>
                <xsd:element ref="ns2:Description0" minOccurs="0"/>
                <xsd:element ref="ns2:People" minOccurs="0"/>
                <xsd:element ref="ns1:LikesCount" minOccurs="0"/>
                <xsd:element ref="ns1:AverageRating" minOccurs="0"/>
                <xsd:element ref="ns1:RatingCount" minOccurs="0"/>
                <xsd:element ref="ns2:Status" minOccurs="0"/>
                <xsd:element ref="ns2:Review_x0020_Comments" minOccurs="0"/>
                <xsd:element ref="ns2:Funding_x0020_Source" minOccurs="0"/>
                <xsd:element ref="ns2:Idea_x0020_Category" minOccurs="0"/>
                <xsd:element ref="ns2:Date" minOccurs="0"/>
                <xsd:element ref="ns2:d05f63ba40984deab913011dba1cabd4" minOccurs="0"/>
                <xsd:element ref="ns2:bcad1085fac14b0d9956f4d9e66a8447" minOccurs="0"/>
                <xsd:element ref="ns1:RatedBy" minOccurs="0"/>
                <xsd:element ref="ns1:Ratings" minOccurs="0"/>
                <xsd:element ref="ns1:LikedBy" minOccurs="0"/>
                <xsd:element ref="ns3:TaxCatchAll" minOccurs="0"/>
                <xsd:element ref="ns2:MediaServiceMetadata" minOccurs="0"/>
                <xsd:element ref="ns2:MediaServiceFastMetadata" minOccurs="0"/>
                <xsd:element ref="ns4:SharedWithUsers" minOccurs="0"/>
                <xsd:element ref="ns4:SharedWithDetail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CompletedLocation" minOccurs="0"/>
                <xsd:element ref="ns2:Reviewer" minOccurs="0"/>
                <xsd:element ref="ns2:MediaLengthInSeconds" minOccurs="0"/>
                <xsd:element ref="ns2:Output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ikesCount" ma:index="5" nillable="true" ma:displayName="Number of Likes" ma:internalName="LikesCount">
      <xsd:simpleType>
        <xsd:restriction base="dms:Unknown"/>
      </xsd:simpleType>
    </xsd:element>
    <xsd:element name="AverageRating" ma:index="7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8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18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19" nillable="true" ma:displayName="User ratings" ma:description="User ratings for the item" ma:hidden="true" ma:internalName="Ratings">
      <xsd:simpleType>
        <xsd:restriction base="dms:Note"/>
      </xsd:simpleType>
    </xsd:element>
    <xsd:element name="LikedBy" ma:index="20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02df7f-88d7-4de7-95a7-124321c940f0" elementFormDefault="qualified">
    <xsd:import namespace="http://schemas.microsoft.com/office/2006/documentManagement/types"/>
    <xsd:import namespace="http://schemas.microsoft.com/office/infopath/2007/PartnerControls"/>
    <xsd:element name="Description0" ma:index="1" nillable="true" ma:displayName="Summary" ma:internalName="Description0" ma:readOnly="false">
      <xsd:simpleType>
        <xsd:restriction base="dms:Note">
          <xsd:maxLength value="255"/>
        </xsd:restriction>
      </xsd:simpleType>
    </xsd:element>
    <xsd:element name="People" ma:index="3" nillable="true" ma:displayName="People" ma:format="Dropdown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atus" ma:index="9" nillable="true" ma:displayName="Status" ma:default="In Planning" ma:description="In Planning (Active and Long Term)" ma:format="Dropdown" ma:internalName="Status">
      <xsd:simpleType>
        <xsd:restriction base="dms:Choice">
          <xsd:enumeration value="Pending Resource"/>
          <xsd:enumeration value="Parked"/>
          <xsd:enumeration value="In Planning"/>
          <xsd:enumeration value="In Development"/>
          <xsd:enumeration value="Complete"/>
          <xsd:enumeration value="Ready for Review"/>
        </xsd:restriction>
      </xsd:simpleType>
    </xsd:element>
    <xsd:element name="Review_x0020_Comments" ma:index="10" nillable="true" ma:displayName="Status Comment" ma:format="Dropdown" ma:internalName="Review_x0020_Comments">
      <xsd:simpleType>
        <xsd:restriction base="dms:Note">
          <xsd:maxLength value="255"/>
        </xsd:restriction>
      </xsd:simpleType>
    </xsd:element>
    <xsd:element name="Funding_x0020_Source" ma:index="11" nillable="true" ma:displayName="Funding Source" ma:default="Project" ma:format="Dropdown" ma:internalName="Funding_x0020_Source">
      <xsd:simpleType>
        <xsd:restriction base="dms:Choice">
          <xsd:enumeration value="Project"/>
          <xsd:enumeration value="Discipline Funding"/>
          <xsd:enumeration value="Regional Tech Funding"/>
          <xsd:enumeration value="Central Investment Funding"/>
          <xsd:enumeration value="Core Development Team"/>
        </xsd:restriction>
      </xsd:simpleType>
    </xsd:element>
    <xsd:element name="Idea_x0020_Category" ma:index="12" nillable="true" ma:displayName="Idea Category" ma:format="Dropdown" ma:internalName="Idea_x0020_Category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fficiency and Automation"/>
                    <xsd:enumeration value="Incubation"/>
                    <xsd:enumeration value="ESG"/>
                    <xsd:enumeration value="Rapid Prototyping"/>
                    <xsd:enumeration value="Analytics"/>
                    <xsd:enumeration value="Project"/>
                  </xsd:restriction>
                </xsd:simpleType>
              </xsd:element>
            </xsd:sequence>
          </xsd:extension>
        </xsd:complexContent>
      </xsd:complexType>
    </xsd:element>
    <xsd:element name="Date" ma:index="13" nillable="true" ma:displayName="Date" ma:format="DateOnly" ma:internalName="Date">
      <xsd:simpleType>
        <xsd:restriction base="dms:DateTime"/>
      </xsd:simpleType>
    </xsd:element>
    <xsd:element name="d05f63ba40984deab913011dba1cabd4" ma:index="16" nillable="true" ma:taxonomy="true" ma:internalName="d05f63ba40984deab913011dba1cabd4" ma:taxonomyFieldName="Discipline" ma:displayName="Discipline" ma:readOnly="false" ma:default="" ma:fieldId="{d05f63ba-4098-4dea-b913-011dba1cabd4}" ma:sspId="43fa978b-cdad-45a5-877c-f631a0e6dfe9" ma:termSetId="4e73e40c-4865-4834-b7af-c2c3c02849aa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cad1085fac14b0d9956f4d9e66a8447" ma:index="17" nillable="true" ma:taxonomy="true" ma:internalName="bcad1085fac14b0d9956f4d9e66a8447" ma:taxonomyFieldName="Office_x0020_of_x0020_Idea_x0027_s_x0020_Origin" ma:displayName="Office" ma:readOnly="false" ma:fieldId="{bcad1085-fac1-4b0d-9956-f4d9e66a8447}" ma:sspId="43fa978b-cdad-45a5-877c-f631a0e6dfe9" ma:termSetId="b49f64b3-4722-4336-9a5c-56c326b344d4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MediaServiceMetadata" ma:index="2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2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27" nillable="true" ma:displayName="Tags" ma:internalName="MediaServiceAutoTags" ma:readOnly="true">
      <xsd:simpleType>
        <xsd:restriction base="dms:Text"/>
      </xsd:simpleType>
    </xsd:element>
    <xsd:element name="MediaServiceGenerationTime" ma:index="2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34" nillable="true" ma:displayName="Location" ma:internalName="MediaServiceLocation" ma:readOnly="true">
      <xsd:simpleType>
        <xsd:restriction base="dms:Text"/>
      </xsd:simpleType>
    </xsd:element>
    <xsd:element name="MediaServiceAutoKeyPoints" ma:index="3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3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CompletedLocation" ma:index="38" nillable="true" ma:displayName="ROI Location (Link)" ma:description="This should contain the location for the completed idea (link to the ROI library)" ma:format="Dropdown" ma:internalName="CompletedLocation">
      <xsd:simpleType>
        <xsd:restriction base="dms:Note">
          <xsd:maxLength value="255"/>
        </xsd:restriction>
      </xsd:simpleType>
    </xsd:element>
    <xsd:element name="Reviewer" ma:index="39" nillable="true" ma:displayName="Reviewer" ma:description="Person responsible for reviewing categorisation, discipline etc" ma:format="Dropdown" ma:list="UserInfo" ma:SharePointGroup="0" ma:internalName="Reviewer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LengthInSeconds" ma:index="40" nillable="true" ma:displayName="MediaLengthInSeconds" ma:hidden="true" ma:internalName="MediaLengthInSeconds" ma:readOnly="true">
      <xsd:simpleType>
        <xsd:restriction base="dms:Unknown"/>
      </xsd:simpleType>
    </xsd:element>
    <xsd:element name="Output" ma:index="41" nillable="true" ma:displayName="Anticipated Output" ma:format="Dropdown" ma:internalName="Output">
      <xsd:simpleType>
        <xsd:restriction base="dms:Choice">
          <xsd:enumeration value="Web UI"/>
          <xsd:enumeration value="Grasshopper Script"/>
          <xsd:enumeration value="Excel Script"/>
          <xsd:enumeration value="Other"/>
        </xsd:restriction>
      </xsd:simpleType>
    </xsd:element>
    <xsd:element name="lcf76f155ced4ddcb4097134ff3c332f" ma:index="43" nillable="true" ma:taxonomy="true" ma:internalName="lcf76f155ced4ddcb4097134ff3c332f" ma:taxonomyFieldName="MediaServiceImageTags" ma:displayName="Image Tags" ma:readOnly="false" ma:fieldId="{5cf76f15-5ced-4ddc-b409-7134ff3c332f}" ma:taxonomyMulti="true" ma:sspId="43fa978b-cdad-45a5-877c-f631a0e6dfe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4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4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4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7a92c5-f891-48be-92b1-40f67a03cf1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72df026f-cbf9-4856-b234-fe00ac59712e}" ma:internalName="TaxCatchAll" ma:showField="CatchAllData" ma:web="329e5992-0c58-40a3-b366-574206e8756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1875c7-ea51-4db7-9f6e-d358eeae476c" elementFormDefault="qualified">
    <xsd:import namespace="http://schemas.microsoft.com/office/2006/documentManagement/types"/>
    <xsd:import namespace="http://schemas.microsoft.com/office/infopath/2007/PartnerControls"/>
    <xsd:element name="SharedWithUsers" ma:index="2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30" ma:displayName="Content Type"/>
        <xsd:element ref="dc:title" minOccurs="0" maxOccurs="1" ma:index="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6326545-55BA-473D-AE68-C2EA17DA393C}">
  <ds:schemaRefs>
    <ds:schemaRef ds:uri="http://schemas.microsoft.com/office/2006/metadata/properties"/>
    <ds:schemaRef ds:uri="http://schemas.microsoft.com/office/infopath/2007/PartnerControls"/>
    <ds:schemaRef ds:uri="e34d8971-24df-41b1-89c8-6e1548b07ae1"/>
    <ds:schemaRef ds:uri="65a79493-e7a8-4a30-838d-a7d05defeee0"/>
    <ds:schemaRef ds:uri="1302df7f-88d7-4de7-95a7-124321c940f0"/>
    <ds:schemaRef ds:uri="8f7a92c5-f891-48be-92b1-40f67a03cf11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0F8F3837-DDE1-48D9-A36B-3F14764CC9B4}"/>
</file>

<file path=customXml/itemProps3.xml><?xml version="1.0" encoding="utf-8"?>
<ds:datastoreItem xmlns:ds="http://schemas.openxmlformats.org/officeDocument/2006/customXml" ds:itemID="{CBE0892F-05EF-4171-852E-4FE511084F7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BHoM_CallersHidden</vt:lpstr>
      <vt:lpstr>Steel Reuse Dashboard</vt:lpstr>
      <vt:lpstr>Inputs</vt:lpstr>
      <vt:lpstr>Total Table</vt:lpstr>
      <vt:lpstr>UC</vt:lpstr>
      <vt:lpstr>CHS</vt:lpstr>
      <vt:lpstr>SHS and RHS</vt:lpstr>
      <vt:lpstr>RHS</vt:lpstr>
      <vt:lpstr>PFC and FB</vt:lpstr>
      <vt:lpstr>UB</vt:lpstr>
      <vt:lpstr>endCutOffLength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Melissa Ruckert</dc:creator>
  <cp:keywords/>
  <dc:description/>
  <cp:lastModifiedBy>Giorgio Albieri</cp:lastModifiedBy>
  <cp:revision/>
  <cp:lastPrinted>2025-02-20T12:25:14Z</cp:lastPrinted>
  <dcterms:created xsi:type="dcterms:W3CDTF">2024-03-04T19:20:07Z</dcterms:created>
  <dcterms:modified xsi:type="dcterms:W3CDTF">2025-03-10T19:16:12Z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HoM_Guid">
    <vt:lpwstr>3bf50add-0134-4006-a7ae-19b6e1d0cc44</vt:lpwstr>
  </property>
  <property fmtid="{D5CDD505-2E9C-101B-9397-08002B2CF9AE}" pid="3" name="ContentTypeId">
    <vt:lpwstr>0x010100BB67435D7FBBBA47ADFC347CB144427F</vt:lpwstr>
  </property>
  <property fmtid="{D5CDD505-2E9C-101B-9397-08002B2CF9AE}" pid="4" name="MediaServiceImageTags">
    <vt:lpwstr/>
  </property>
  <property fmtid="{D5CDD505-2E9C-101B-9397-08002B2CF9AE}" pid="5" name="Discipline">
    <vt:lpwstr/>
  </property>
  <property fmtid="{D5CDD505-2E9C-101B-9397-08002B2CF9AE}" pid="6" name="Office of Idea's Origin">
    <vt:lpwstr/>
  </property>
  <property fmtid="{D5CDD505-2E9C-101B-9397-08002B2CF9AE}" pid="7" name="Office_x0020_of_x0020_Idea_x0027_s_x0020_Origin">
    <vt:lpwstr/>
  </property>
</Properties>
</file>