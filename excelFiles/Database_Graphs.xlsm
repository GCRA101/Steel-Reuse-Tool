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rohappold.sharepoint.com/sites/Direction/designtechnology/Lists/DevDocs/00728_STR Steel Re-use/04_Dev/ReuseSchemeTool/ReuseSchemeTool/excelFiles/"/>
    </mc:Choice>
  </mc:AlternateContent>
  <xr:revisionPtr revIDLastSave="401" documentId="8_{C02CC0A2-3F95-460D-9BE6-40C5F366FE3C}" xr6:coauthVersionLast="47" xr6:coauthVersionMax="47" xr10:uidLastSave="{C6F66D3C-868B-4EFE-8E1E-33ACD9DC898D}"/>
  <bookViews>
    <workbookView xWindow="-120" yWindow="-120" windowWidth="29040" windowHeight="15990" firstSheet="1" activeTab="1" xr2:uid="{376705C5-C65B-43F6-A5BB-8D91ED0DB7AB}"/>
  </bookViews>
  <sheets>
    <sheet name="BHoM_CallersHidden" sheetId="10" state="hidden" r:id="rId1"/>
    <sheet name="Steel Reuse Dashboard" sheetId="13" r:id="rId2"/>
    <sheet name="Inputs" sheetId="14" state="hidden" r:id="rId3"/>
    <sheet name="Total Table" sheetId="19" state="hidden" r:id="rId4"/>
    <sheet name="UC" sheetId="20" state="hidden" r:id="rId5"/>
    <sheet name="CHS" sheetId="23" state="hidden" r:id="rId6"/>
    <sheet name="SHS and RHS" sheetId="22" state="hidden" r:id="rId7"/>
    <sheet name="RHS" sheetId="25" state="hidden" r:id="rId8"/>
    <sheet name="PFC and FB" sheetId="26" state="hidden" r:id="rId9"/>
    <sheet name="UB" sheetId="27" state="hidden" r:id="rId10"/>
  </sheets>
  <definedNames>
    <definedName name="_xlnm._FilterDatabase" localSheetId="3" hidden="1">'Total Table'!$A$1:$I$4106</definedName>
    <definedName name="elCutOffLength">'Steel Reuse Dashboard'!$E$3</definedName>
    <definedName name="minLength">'Steel Reuse Dashboard'!$E$9</definedName>
    <definedName name="roundDownLength">'Steel Reuse Dashboard'!$E$6</definedName>
  </definedNames>
  <calcPr calcId="191028"/>
  <pivotCaches>
    <pivotCache cacheId="6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9" l="1" a="1"/>
  <c r="I1" i="19" s="1"/>
  <c r="P11" i="19" l="1"/>
  <c r="K1" i="19" a="1"/>
  <c r="K1" i="19" s="1"/>
  <c r="D1" i="19" a="1"/>
  <c r="D1" i="19" s="1"/>
  <c r="C1" i="19" a="1"/>
  <c r="C1" i="19" s="1"/>
  <c r="B1" i="19" a="1"/>
  <c r="B1" i="19" s="1"/>
  <c r="A1" i="19" a="1"/>
  <c r="A1" i="19" s="1"/>
  <c r="P7" i="19" l="1"/>
  <c r="L1" i="19" a="1"/>
  <c r="L1" i="19" s="1"/>
  <c r="M1" i="19" s="1" a="1"/>
  <c r="M1" i="19" s="1"/>
  <c r="H1" i="19" s="1" a="1"/>
  <c r="H1" i="19" s="1"/>
  <c r="P8" i="19"/>
  <c r="E1" i="19" a="1"/>
  <c r="E1" i="19" s="1"/>
  <c r="F1" i="19" l="1" a="1"/>
  <c r="F1" i="19" s="1"/>
  <c r="G1" i="19" s="1" a="1"/>
  <c r="G1" i="19" s="1"/>
  <c r="P6" i="19"/>
  <c r="P13" i="19" l="1"/>
  <c r="P12" i="19" s="1"/>
  <c r="P2" i="19"/>
  <c r="P3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<sst xmlns="http://schemas.openxmlformats.org/spreadsheetml/2006/main" count="97" uniqueCount="41">
  <si>
    <t>uEqWJAer</t>
  </si>
  <si>
    <t>ExplodeCaller</t>
  </si>
  <si>
    <t>BHoM.Explode</t>
  </si>
  <si>
    <t>GetPropertyCaller</t>
  </si>
  <si>
    <t>Engine.GetProperty</t>
  </si>
  <si>
    <t>QueryCaller</t>
  </si>
  <si>
    <t>Query.Library.Library?by_String</t>
  </si>
  <si>
    <t>INPUT VARIABLES</t>
  </si>
  <si>
    <t>Element cutoff at either end</t>
  </si>
  <si>
    <t>m</t>
  </si>
  <si>
    <t xml:space="preserve">Round down element lengths </t>
  </si>
  <si>
    <t>Remove section from graph if &lt;</t>
  </si>
  <si>
    <t>-</t>
  </si>
  <si>
    <t>Section Family</t>
  </si>
  <si>
    <t>Section Name</t>
  </si>
  <si>
    <t>Section Area</t>
  </si>
  <si>
    <t>Total Length</t>
  </si>
  <si>
    <t>Summary Graphs - Excluded in Data</t>
  </si>
  <si>
    <t>Shown</t>
  </si>
  <si>
    <t>Excluded</t>
  </si>
  <si>
    <t>Summary Graphs - Proportion of NA</t>
  </si>
  <si>
    <t>List</t>
  </si>
  <si>
    <t>Known</t>
  </si>
  <si>
    <t>YES</t>
  </si>
  <si>
    <t>Unknown</t>
  </si>
  <si>
    <t>Total</t>
  </si>
  <si>
    <t>Planned for Reuse</t>
  </si>
  <si>
    <t>Reused</t>
  </si>
  <si>
    <t>Remaining Known</t>
  </si>
  <si>
    <t>Total (excl. NA)</t>
  </si>
  <si>
    <t>Plot</t>
  </si>
  <si>
    <t>Sum of Total Volume</t>
  </si>
  <si>
    <t>Column Labels</t>
  </si>
  <si>
    <t>Row Labels</t>
  </si>
  <si>
    <t>Grand Total</t>
  </si>
  <si>
    <t>(Multiple Items)</t>
  </si>
  <si>
    <t>Reuse Strategy</t>
  </si>
  <si>
    <t>{ "SelectedItem" : { "_t" : "System.Reflection.MethodBase", "TypeName" : "{ \"_t\" : \"System.Type\", \"Name\" : \"BH.Engine.Excel.Query, ExcelUI_Engine, Version=8.0.0.0, Culture=neutral, PublicKeyToken=null\", \"_bhomVersion\" : \"8.1\" }", "MethodName" : "Explode", "Parameters" : ["{ \"_t\" : \"System.Type\", \"Name\" : \"System.Collections.Generic.List`1, mscorlib, Version=4.0.0.0, Culture=neutral, PublicKeyToken=b77a5c561934e089\", \"GenericArguments\" : [{ \"_t\" : \"System.Type\", \"Name\" : \"System.Object, mscorlib, Version=4.0.0.0, Culture=neutral, PublicKeyToken=b77a5c561934e089\", \"_bhomVersion\" : \"8.1\" }], \"_bhomVersion\" : \"8.1\" }", "{ \"_t\" : \"System.Type\", \"Name\" : \"System.Boolean, mscorlib, Version=4.0.0.0, Culture=neutral, PublicKeyToken=b77a5c561934e089\", \"_bhomVersion\" : \"8.1\" }", "{ \"_t\" : \"System.Type\", \"Name\" : \"System.Boolean, mscorlib, Version=4.0.0.0, Culture=neutral, PublicKeyToken=b77a5c561934e089\", \"_bhomVersion\" : \"8.1\" }", "{ \"_t\" : \"System.Type\", \"Name\" : \"System.Boolean, mscorlib, Version=4.0.0.0, Culture=neutral, PublicKeyToken=b77a5c561934e089\", \"_bhomVersion\" : \"8.1\" }"], "_bhomVersion" : "8.1" }, "InputParams"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"System.Object, mscorlib, Version=4.0.0.0, Culture=neutral, PublicKeyToken=b77a5c561934e089", "_bhomVersion" : "8.1" }], "_bhomVersion" : "8.1" }, "Description" : "Objects to explode\r\nThis is a List&lt;Object&gt;", "Kind" : "Input", "HasDefaultValue" : false, "DefaultValue" : null, "IsRequired" : true, "IsSelected" : true, "DefaultValueWarning" : "", "BHoM_Guid" : "4db166c6-c1db-4223-bcbd-7656b9d45584", "Name" : "objects" }, { "_t" : "BH.oM.UI.ParamInfo", "DataType" : { "_t" : "System.Type", "Name" : "System.Boolean, mscorlib, Version=4.0.0.0, Culture=neutral, PublicKeyToken=b77a5c561934e089", "_bhomVersion" : "8.1" }, "Description" : "Include the name of the properties\r\nThis is a Boolean", "Kind" : "Input", "HasDefaultValue" : true, "DefaultValue" : false, "IsRequired" : false, "IsSelected" : true, "DefaultValueWarning" : "", "BHoM_Guid" : "010470ca-fabb-4d91-8e2c-b4519fe0d8bf", "Name" : "includePropertyNames" }, { "_t" : "BH.oM.UI.ParamInfo", "DataType" : { "_t" : "System.Type", "Name" : "System.Boolean, mscorlib, Version=4.0.0.0, Culture=neutral, PublicKeyToken=b77a5c561934e089", "_bhomVersion" : "8.1" }, "Description" : "Explode inner objects\r\nThis is a Boolean", "Kind" : "Input", "HasDefaultValue" : true, "DefaultValue" : false, "IsRequired" : false, "IsSelected" : true, "DefaultValueWarning" : "", "BHoM_Guid" : "9cfb3cbc-1059-4d10-9b4b-ff0e8e0edf81", "Name" : "goDeep" }, { "_t" : "BH.oM.UI.ParamInfo", "DataType" : { "_t" : "System.Type", "Name" : "System.Boolean, mscorlib, Version=4.0.0.0, Culture=neutral, PublicKeyToken=b77a5c561934e089", "_bhomVersion" : "8.1" }, "Description" : "Transpose the resulting table (i.e. one object per column instead of per row)\r\nThis is a Boolean", "Kind" : "Input", "HasDefaultValue" : true, "DefaultValue" : false, "IsRequired" : false, "IsSelected" : true, "DefaultValueWarning" : "", "BHoM_Guid" : "9c981e1d-267b-4035-9942-a852728c7c6d", "Name" : "transpose"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"8.1" }, "Description" : "This is a Object", "Kind" : "Output", "HasDefaultValue" : false, "DefaultValue" : null, "IsRequired" : true, "IsSelected" : true, "DefaultValueWarning" : "", "BHoM_Guid" : "6f15a112-7444-489b-b447-3b1230101737", "Name" : "O" }] }, "BHoM_Guid" : "99dfeb99-cb27-430a-ad5f-80b019d3489c", "_bhomVersion" : "8.1" }</t>
  </si>
  <si>
    <t>{ "SelectedItem" : { "_t" : "System.Reflection.MethodBase", "TypeName" : "{ \"_t\" : \"System.Type\", \"Name\" : \"BH.UI.Base.Components.GetPropertyCaller, BHoM_UI, Version=8.0.0.0, Culture=neutral, PublicKeyToken=null\", \"_bhomVersion\" : \"8.1\" }", "MethodName" : "GetProperty", "Parameters" : ["{ \"_t\" : \"System.Type\", \"Name\" : \"System.Object, mscorlib, Version=4.0.0.0, Culture=neutral, PublicKeyToken=b77a5c561934e089\", \"_bhomVersion\" : \"8.1\" }", "{ \"_t\" : \"System.Type\", \"Name\" : \"System.String, mscorlib, Version=4.0.0.0, Culture=neutral, PublicKeyToken=b77a5c561934e089\", \"_bhomVersion\" : \"8.1\" }"], "_bhomVersion" : "8.1" }, "InputParams"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"8.1" }, "Description" : "Object to extract the property value from. Can be a list of objects.\r\nThis is a Object", "Kind" : "Input", "HasDefaultValue" : false, "DefaultValue" : null, "IsRequired" : true, "IsSelected" : true, "DefaultValueWarning" : "", "BHoM_Guid" : "8d0637a2-c141-4c68-9b65-0b9f87e47b3e", "Name" : "obj" }, { "_t" : "BH.oM.UI.ParamInfo", "DataType" : { "_t" : "System.Type", "Name" : "System.String, mscorlib, Version=4.0.0.0, Culture=neutral, PublicKeyToken=b77a5c561934e089", "_bhomVersion" : "8.1" }, "Description" : "Name of the property to extract. Can be a list of names.\nYou can use the dot notation to access nested properties: e.g. for e.g. for a BH.oM.Structure.Bar, you can input 'StartNode.Position' to get the BH.oM.Geometry.Point.\nTo know what property names you can specify for a given object, connect your object to a BHoM `Explode` component.\r\nThis is a String", "Kind" : "Input", "HasDefaultValue" : false, "DefaultValue" : null, "IsRequired" : true, "IsSelected" : true, "DefaultValueWarning" : "", "BHoM_Guid" : "fd988d9e-55cb-49ba-8c8c-14a4e407c3bf", "Name" : "propName"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"8.1" }, "Description" : "Extracted values.\r\nThis is a Object", "Kind" : "Output", "HasDefaultValue" : false, "DefaultValue" : null, "IsRequired" : true, "IsSelected" : true, "DefaultValueWarning" : "", "BHoM_Guid" : "91a2221e-165c-4435-a231-ecd758147621", "Name" : "Value" }] }, "BHoM_Guid" : "41c872c9-9803-4447-bf10-8dcd89aacc58", "_bhomVersion" : "8.1" }</t>
  </si>
  <si>
    <t>{ "SelectedItem" : { "_t" : "System.Reflection.MethodBase", "TypeName" : "{ \"_t\" : \"System.Type\", \"Name\" : \"BH.Engine.Library.Query, Library_Engine, Version=8.0.0.0, Culture=neutral, PublicKeyToken=null\", \"_bhomVersion\" : \"8.1\" }", "MethodName" : "Library", "Parameters" : ["{ \"_t\" : \"System.Type\", \"Name\" : \"System.String, mscorlib, Version=4.0.0.0, Culture=neutral, PublicKeyToken=b77a5c561934e089\", \"_bhomVersion\" : \"8.1\" }"], "_bhomVersion" : "8.1" }, "InputParams" : { "_t" : "System.Collections.Generic.List`1[[BH.oM.UI.ParamInfo, UI_oM, Version=8.0.0.0, Culture=neutral, PublicKeyToken=null]]", "_v" : [{ "_t" : "BH.oM.UI.ParamInfo", "DataType" : { "_t" : "System.Type", "Name" : "System.String, mscorlib, Version=4.0.0.0, Culture=neutral, PublicKeyToken=b77a5c561934e089", "_bhomVersion" : "8.1" }, "Description" : "The name of the Dataset(s) to extract.\r\nThis is a String", "Kind" : "Input", "HasDefaultValue" : false, "DefaultValue" : null, "IsRequired" : true, "IsSelected" : true, "DefaultValueWarning" : "", "BHoM_Guid" : "cda916d6-53c1-4c3d-895a-e1a28f09beaf", "Name" : "libraryName" }] }, "OutputParams"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"BH.oM.Base.IBHoMObject", "_bhomVersion" : "8.1" }], "_bhomVersion" : "8.1" }, "Description" : "The data from the Dataset(s).\r\nThis is a List&lt;IBHoMObject&gt;\r\nThis can be of the following types: TagLayoutQualityPreset, TagSettings, ScoreWeightings, PointTagSettings, GlobalTagSettings, CurveTagSettings, BaseTagSettings, AreaTagSettings, TagViewInfo, TagType, TagLayout, TagInstanceSettings, TagHost, PointTagHost, PointHostsBySettings, and more...", "Kind" : "Output", "HasDefaultValue" : false, "DefaultValue" : null, "IsRequired" : true, "IsSelected" : true, "DefaultValueWarning" : "", "BHoM_Guid" : "f93d01ab-55de-4d1f-a03f-8a93ac5f7744", "Name" : "libraryData" }] }, "BHoM_Guid" : "98686b32-a1b4-44cc-998a-813f26eac792", "_bhomVersion" : "8.1" }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</si>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</sst>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9"/>
      <color theme="1"/>
      <name val="Segoe UI"/>
      <family val="2"/>
    </font>
    <font>
      <b/>
      <sz val="9"/>
      <color theme="1"/>
      <name val="Segoe UI"/>
      <family val="2"/>
    </font>
    <font>
      <sz val="10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2" fillId="0" borderId="0" xfId="1"/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1" applyFont="1"/>
    <xf numFmtId="0" fontId="2" fillId="0" borderId="0" xfId="1" applyFill="1" applyBorder="1" applyAlignment="1">
      <alignment vertical="top" wrapText="1"/>
    </xf>
    <xf numFmtId="0" fontId="2" fillId="0" borderId="0" xfId="1" applyFill="1" applyBorder="1"/>
    <xf numFmtId="0" fontId="2" fillId="0" borderId="0" xfId="1" applyFill="1" applyBorder="1" applyAlignment="1"/>
    <xf numFmtId="0" fontId="1" fillId="4" borderId="0" xfId="0" applyFont="1" applyFill="1" applyAlignment="1">
      <alignment horizontal="center"/>
    </xf>
    <xf numFmtId="0" fontId="3" fillId="0" borderId="0" xfId="1" applyFont="1" applyAlignment="1">
      <alignment wrapText="1"/>
    </xf>
    <xf numFmtId="0" fontId="0" fillId="0" borderId="0" xfId="0" applyNumberFormat="1"/>
    <xf numFmtId="0" fontId="1" fillId="5" borderId="2" xfId="0" applyFont="1" applyFill="1" applyBorder="1"/>
    <xf numFmtId="0" fontId="1" fillId="5" borderId="3" xfId="0" applyFont="1" applyFill="1" applyBorder="1"/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/>
    <xf numFmtId="0" fontId="3" fillId="2" borderId="1" xfId="1" applyFont="1" applyFill="1" applyBorder="1" applyAlignment="1">
      <alignment horizontal="center"/>
    </xf>
    <xf numFmtId="0" fontId="2" fillId="2" borderId="1" xfId="1" applyFill="1" applyBorder="1" applyAlignment="1">
      <alignment horizontal="center" vertical="center"/>
    </xf>
    <xf numFmtId="0" fontId="2" fillId="2" borderId="1" xfId="1" applyFill="1" applyBorder="1" applyAlignment="1">
      <alignment horizontal="left" vertical="center" wrapText="1"/>
    </xf>
    <xf numFmtId="0" fontId="2" fillId="3" borderId="1" xfId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</cellXfs>
  <cellStyles count="2">
    <cellStyle name="Normal" xfId="0" builtinId="0"/>
    <cellStyle name="Normal 2" xfId="1" xr:uid="{B97F0277-DDFE-41BB-AF71-0D405DF04021}"/>
  </cellStyles>
  <dxfs count="3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FF66"/>
      <color rgb="FF740056"/>
      <color rgb="FFFF99FF"/>
      <color rgb="FFFEF5B4"/>
      <color rgb="FFEDF0DA"/>
      <color rgb="FFFF5D5D"/>
      <color rgb="FFFF7C80"/>
      <color rgb="FFFFB7B7"/>
      <color rgb="FFCC0000"/>
      <color rgb="FF5B7E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Known vs. Unknown Elements by Length (m)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</c:spPr>
          <c:explosion val="5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43-4C30-A2E9-B7970870F219}"/>
              </c:ext>
            </c:extLst>
          </c:dPt>
          <c:dPt>
            <c:idx val="1"/>
            <c:bubble3D val="0"/>
            <c:spPr>
              <a:solidFill>
                <a:srgbClr val="CC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43-4C30-A2E9-B7970870F2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Table'!$O$6:$O$7</c:f>
              <c:strCache>
                <c:ptCount val="2"/>
                <c:pt idx="0">
                  <c:v>Known</c:v>
                </c:pt>
                <c:pt idx="1">
                  <c:v>Unknown</c:v>
                </c:pt>
              </c:strCache>
            </c:strRef>
          </c:cat>
          <c:val>
            <c:numRef>
              <c:f>'Total Table'!$P$6:$P$7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3-4C30-A2E9-B7970870F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>
      <c:oddHeader>&amp;L&amp;G&amp;C 059950 Project Domino
&amp;A
Rev01&amp;R&amp;D
Created by: M Ruckert
Checked by: D Tringale</c:oddHeader>
    </c:headerFooter>
    <c:pageMargins b="0.75" l="0.7" r="0.7" t="0.75" header="0.3" footer="0.3"/>
    <c:pageSetup paperSize="150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Section</a:t>
            </a:r>
            <a:r>
              <a:rPr lang="en-GB" sz="1050" baseline="0"/>
              <a:t> Types Excluded from Graphs by Volume</a:t>
            </a:r>
            <a:endParaRPr lang="en-GB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CF-48F1-8929-ABF0AF178DF0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CF-48F1-8929-ABF0AF178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Table'!$O$2:$O$3</c:f>
              <c:strCache>
                <c:ptCount val="2"/>
                <c:pt idx="0">
                  <c:v>Shown</c:v>
                </c:pt>
                <c:pt idx="1">
                  <c:v>Excluded</c:v>
                </c:pt>
              </c:strCache>
            </c:strRef>
          </c:cat>
          <c:val>
            <c:numRef>
              <c:f>'Total Table'!$P$2:$P$3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CF-48F1-8929-ABF0AF178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Sections Planned</a:t>
            </a:r>
            <a:r>
              <a:rPr lang="en-GB" sz="1050" baseline="0"/>
              <a:t> for Reuse by Volume</a:t>
            </a:r>
            <a:endParaRPr lang="en-GB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72-41D0-ADA1-2A2B58FFEF6A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72-41D0-ADA1-2A2B58FFEF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Table'!$O$11:$O$12</c:f>
              <c:strCache>
                <c:ptCount val="2"/>
                <c:pt idx="0">
                  <c:v>Reused</c:v>
                </c:pt>
                <c:pt idx="1">
                  <c:v>Remaining Known</c:v>
                </c:pt>
              </c:strCache>
            </c:strRef>
          </c:cat>
          <c:val>
            <c:numRef>
              <c:f>'Total Table'!$P$11:$P$12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72-41D0-ADA1-2A2B58FFE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[Database_Graphs.xlsm]CHS!PivotTable5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CHS!$B$4:$B$5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CHS!$B$6:$B$7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933-4B81-9DF0-2CF51E08F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[Database_Graphs.xlsm]SHS and RHS!PivotTable5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'SHS and RHS'!$B$4:$B$5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'SHS and RHS'!$B$6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38D-4DC4-92B4-CE645D862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[Database_Graphs.xlsm]PFC and FB!PivotTable5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'PFC and FB'!$B$4:$B$5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'PFC and FB'!$B$6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059-4C3E-96D0-7991BFF4B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[Database_Graphs.xlsm]UC!PivotTable5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7455946953999178E-2"/>
          <c:y val="0.11712523845501942"/>
          <c:w val="0.69015223097112854"/>
          <c:h val="0.7038395043127114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UC!$B$4:$B$5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UC!$B$6:$B$7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C4E-4EC8-9C3A-51D6AB73C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808276465441818"/>
          <c:y val="4.2269330400910604E-2"/>
          <c:w val="0.19052100194338181"/>
          <c:h val="0.7379008413451141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[Database_Graphs.xlsm]UB!PivotTable5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UB!$B$4:$B$5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UB!$B$6:$B$7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2AF-4D73-B313-404B62C8E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001385826771656"/>
          <c:y val="2.7176667032702048E-2"/>
          <c:w val="0.17640668568360171"/>
          <c:h val="0.7379008413451141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Section</a:t>
            </a:r>
            <a:r>
              <a:rPr lang="en-GB" sz="1100" baseline="0"/>
              <a:t> Types Excluded from Graphs by Volume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D0-4D00-8B5B-DFC85B78583D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1D0-4D00-8B5B-DFC85B7858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Table'!$O$2:$O$3</c:f>
              <c:strCache>
                <c:ptCount val="2"/>
                <c:pt idx="0">
                  <c:v>Shown</c:v>
                </c:pt>
                <c:pt idx="1">
                  <c:v>Excluded</c:v>
                </c:pt>
              </c:strCache>
            </c:strRef>
          </c:cat>
          <c:val>
            <c:numRef>
              <c:f>'Total Table'!$P$2:$P$3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0-4D00-8B5B-DFC85B785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Known</a:t>
            </a:r>
            <a:r>
              <a:rPr lang="en-GB" sz="1100" baseline="0"/>
              <a:t> vs. Unknown Elements by Length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</c:spPr>
          <c:explosion val="5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4C-4773-BBD6-B887DDB5A8ED}"/>
              </c:ext>
            </c:extLst>
          </c:dPt>
          <c:dPt>
            <c:idx val="1"/>
            <c:bubble3D val="0"/>
            <c:spPr>
              <a:solidFill>
                <a:srgbClr val="CC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4C-4773-BBD6-B887DDB5A8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Table'!$O$6:$O$7</c:f>
              <c:strCache>
                <c:ptCount val="2"/>
                <c:pt idx="0">
                  <c:v>Known</c:v>
                </c:pt>
                <c:pt idx="1">
                  <c:v>Unknown</c:v>
                </c:pt>
              </c:strCache>
            </c:strRef>
          </c:cat>
          <c:val>
            <c:numRef>
              <c:f>'Total Table'!$P$6:$P$7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4C-4773-BBD6-B887DDB5A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Sections Planned</a:t>
            </a:r>
            <a:r>
              <a:rPr lang="en-GB" sz="1100" baseline="0"/>
              <a:t> for Reuse by Volume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F7-4F12-AABA-56B7914F44A7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F7-4F12-AABA-56B7914F44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Table'!$O$11:$O$12</c:f>
              <c:strCache>
                <c:ptCount val="2"/>
                <c:pt idx="0">
                  <c:v>Reused</c:v>
                </c:pt>
                <c:pt idx="1">
                  <c:v>Remaining Known</c:v>
                </c:pt>
              </c:strCache>
            </c:strRef>
          </c:cat>
          <c:val>
            <c:numRef>
              <c:f>'Total Table'!$P$11:$P$12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F7-4F12-AABA-56B7914F4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[Database_Graphs.xlsm]UC!PivotTable5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UC!$B$4:$B$5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UC!$B$6:$B$7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825-4369-89CB-2F95D47B5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[Database_Graphs.xlsm]CHS!PivotTable5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CHS!$B$4:$B$5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CHS!$B$6:$B$7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6E6-4575-A767-65E1B6683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[Database_Graphs.xlsm]SHS and RHS!PivotTable5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'SHS and RHS'!$B$4:$B$5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'SHS and RHS'!$B$6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598-4A4A-B050-423E4F3DE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[Database_Graphs.xlsm]RHS!PivotTable5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/>
              <a:t>RHS</a:t>
            </a:r>
            <a:r>
              <a:rPr lang="en-GB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RHS!$B$4:$B$5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RHS!$A$6:$A$7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RHS!$B$6:$B$7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E13-4D63-A004-B246BFF32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[Database_Graphs.xlsm]PFC and FB!PivotTable5</c:name>
    <c:fmtId val="5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'PFC and FB'!$B$4:$B$5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'PFC and FB'!$B$6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58A-40D2-9AB7-A0910EC7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[Database_Graphs.xlsm]UB!PivotTable5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UB!$B$4:$B$5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UB!$A$6:$A$7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UB!$B$6:$B$7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001-44EC-A109-CDC55C32B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166686</xdr:rowOff>
    </xdr:from>
    <xdr:to>
      <xdr:col>7</xdr:col>
      <xdr:colOff>0</xdr:colOff>
      <xdr:row>26</xdr:row>
      <xdr:rowOff>166686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27</xdr:row>
      <xdr:rowOff>1</xdr:rowOff>
    </xdr:from>
    <xdr:to>
      <xdr:col>7</xdr:col>
      <xdr:colOff>1</xdr:colOff>
      <xdr:row>40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40</xdr:row>
      <xdr:rowOff>0</xdr:rowOff>
    </xdr:from>
    <xdr:to>
      <xdr:col>7</xdr:col>
      <xdr:colOff>1</xdr:colOff>
      <xdr:row>52</xdr:row>
      <xdr:rowOff>145286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Refresh Tables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293370</xdr:colOff>
      <xdr:row>0</xdr:row>
      <xdr:rowOff>21227</xdr:rowOff>
    </xdr:from>
    <xdr:to>
      <xdr:col>32</xdr:col>
      <xdr:colOff>293370</xdr:colOff>
      <xdr:row>18</xdr:row>
      <xdr:rowOff>15846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293370</xdr:colOff>
      <xdr:row>0</xdr:row>
      <xdr:rowOff>22798</xdr:rowOff>
    </xdr:from>
    <xdr:to>
      <xdr:col>19</xdr:col>
      <xdr:colOff>293371</xdr:colOff>
      <xdr:row>18</xdr:row>
      <xdr:rowOff>21227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293371</xdr:colOff>
      <xdr:row>0</xdr:row>
      <xdr:rowOff>21227</xdr:rowOff>
    </xdr:from>
    <xdr:to>
      <xdr:col>45</xdr:col>
      <xdr:colOff>0</xdr:colOff>
      <xdr:row>18</xdr:row>
      <xdr:rowOff>15846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283844</xdr:colOff>
      <xdr:row>17</xdr:row>
      <xdr:rowOff>174624</xdr:rowOff>
    </xdr:from>
    <xdr:to>
      <xdr:col>26</xdr:col>
      <xdr:colOff>136084</xdr:colOff>
      <xdr:row>52</xdr:row>
      <xdr:rowOff>142499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120547</xdr:colOff>
      <xdr:row>18</xdr:row>
      <xdr:rowOff>793</xdr:rowOff>
    </xdr:from>
    <xdr:to>
      <xdr:col>45</xdr:col>
      <xdr:colOff>-1</xdr:colOff>
      <xdr:row>52</xdr:row>
      <xdr:rowOff>142499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15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0</xdr:row>
      <xdr:rowOff>1</xdr:rowOff>
    </xdr:from>
    <xdr:to>
      <xdr:col>20</xdr:col>
      <xdr:colOff>0</xdr:colOff>
      <xdr:row>15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30</xdr:row>
      <xdr:rowOff>-1</xdr:rowOff>
    </xdr:from>
    <xdr:to>
      <xdr:col>20</xdr:col>
      <xdr:colOff>0</xdr:colOff>
      <xdr:row>45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19050</xdr:rowOff>
    </xdr:from>
    <xdr:to>
      <xdr:col>12</xdr:col>
      <xdr:colOff>542925</xdr:colOff>
      <xdr:row>42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4</xdr:row>
      <xdr:rowOff>76199</xdr:rowOff>
    </xdr:from>
    <xdr:to>
      <xdr:col>14</xdr:col>
      <xdr:colOff>285750</xdr:colOff>
      <xdr:row>44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4</xdr:row>
      <xdr:rowOff>76199</xdr:rowOff>
    </xdr:from>
    <xdr:to>
      <xdr:col>14</xdr:col>
      <xdr:colOff>285750</xdr:colOff>
      <xdr:row>44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0</xdr:rowOff>
    </xdr:from>
    <xdr:to>
      <xdr:col>11</xdr:col>
      <xdr:colOff>85725</xdr:colOff>
      <xdr:row>41</xdr:row>
      <xdr:rowOff>85726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95250</xdr:rowOff>
    </xdr:from>
    <xdr:to>
      <xdr:col>15</xdr:col>
      <xdr:colOff>676275</xdr:colOff>
      <xdr:row>44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0</xdr:row>
      <xdr:rowOff>0</xdr:rowOff>
    </xdr:from>
    <xdr:to>
      <xdr:col>12</xdr:col>
      <xdr:colOff>504825</xdr:colOff>
      <xdr:row>52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orgio Albieri" refreshedDate="45708.663623495369" createdVersion="8" refreshedVersion="8" minRefreshableVersion="3" recordCount="13" xr:uid="{AA94F025-2D62-409F-940A-D0D837F96A0B}">
  <cacheSource type="worksheet">
    <worksheetSource ref="A1:H1048576" sheet="Total Table"/>
  </cacheSource>
  <cacheFields count="8">
    <cacheField name="Section Family" numFmtId="0">
      <sharedItems containsNonDate="0" containsBlank="1" count="10">
        <m/>
        <s v="UB" u="1"/>
        <s v="NA" u="1"/>
        <s v="FB" u="1"/>
        <s v="UC" u="1"/>
        <s v="PFC" u="1"/>
        <s v="RHS" u="1"/>
        <s v="CHS" u="1"/>
        <s v="SHS" u="1"/>
        <s v="RSC" u="1"/>
      </sharedItems>
    </cacheField>
    <cacheField name="Section Name" numFmtId="0">
      <sharedItems containsNonDate="0" containsBlank="1" count="230">
        <m/>
        <s v="UB 406x178x74" u="1"/>
        <s v="UB 305x127x48" u="1"/>
        <s v="UB 254x146x31" u="1"/>
        <s v="UB 203x133x25" u="1"/>
        <s v="UB 305x165x54" u="1"/>
        <s v="NA" u="1"/>
        <s v="UB 254x146x43" u="1"/>
        <s v="UB 457x191x98" u="1"/>
        <s v="UB 305x127x42" u="1"/>
        <s v="UB 305x127x37" u="1"/>
        <s v="UB 356x171x57" u="1"/>
        <s v="UB 254x146x37" u="1"/>
        <s v="UB 305x165x46" u="1"/>
        <s v="FB 1200x?x50x?" u="1"/>
        <s v="UB 305x165x40" u="1"/>
        <s v="UC 356x368x202" u="1"/>
        <s v="UC 356x406x393" u="1"/>
        <s v="FB 600x250x50x25" u="1"/>
        <s v="UC 356x406x287" u="1"/>
        <s v="UB 356x171x67" u="1"/>
        <s v="UC 305x305x283" u="1"/>
        <s v="UB 356x127x39" u="1"/>
        <s v="UB 533x210x122" u="1"/>
        <s v="UB 457x152x52" u="1"/>
        <s v="UB 254x102x22" u="1"/>
        <s v="FB 1200x?x50x25" u="1"/>
        <s v="UB 610x305x238" u="1"/>
        <s v="UB 610x305x179" u="1"/>
        <s v="UB 356x171x45" u="1"/>
        <s v="UB 610x229x125" u="1"/>
        <s v="UB 610x305x149" u="1"/>
        <s v="UB 457x191x67" u="1"/>
        <s v="UB 610x229x140" u="1"/>
        <s v="UB 610x229x101" u="1"/>
        <s v="UB 457x152x67" u="1"/>
        <s v="UB 457x152x82" u="1"/>
        <s v="UB 356x171x51" u="1"/>
        <s v="UB 305x102x28" u="1"/>
        <s v="UB 533x210x92" u="1"/>
        <s v="UB 254x102x25" u="1"/>
        <s v="UB 305x102x33" u="1"/>
        <s v="RSC 254x76" u="1"/>
        <s v="RSC 432x102" u="1"/>
        <s v="UB 356x127x33" u="1"/>
        <s v="UB 533x210x82" u="1"/>
        <s v="UB 457x152x74" u="1"/>
        <s v="UB 254x102x28" u="1"/>
        <s v="UB 457x191x74" u="1"/>
        <s v="UB 457x152x60" u="1"/>
        <s v="UB 305x102x25" u="1"/>
        <s v="UB 406x140x46" u="1"/>
        <s v="RSC 305x89" u="1"/>
        <s v="RSC 178x76" u="1"/>
        <s v="RSC 152x76" u="1"/>
        <s v="UB 686x254x170" u="1"/>
        <s v="UB 406x140x39" u="1"/>
        <s v="UB 610x229x113" u="1"/>
        <s v="RHS 300x200x10.0" u="1"/>
        <s v="RSC 152x89" u="1"/>
        <s v="RHS 300x200x16.0" u="1"/>
        <s v="RSC 159x89" u="1"/>
        <s v="RSC 229x76" u="1"/>
        <s v="RSC 127x64" u="1"/>
        <s v="UB 838x292x194" u="1"/>
        <s v="CHS 114.3x3.6" u="1"/>
        <s v="UC 203x203x46" u="1"/>
        <s v="FB 610x150x35x15" u="1"/>
        <s v="UB 533x210x101" u="1"/>
        <s v="UB 203x133x30" u="1"/>
        <s v="UC 305x305x198" u="1"/>
        <s v="FB 600x300x50x25" u="1"/>
        <s v="UB 406x178x67" u="1"/>
        <s v="FB 1800x700x50x90x35" u="1"/>
        <s v="UB 533x305x238" u="1"/>
        <s v="UB 838x292x226" u="1"/>
        <s v="UB 152x89x16" u="1"/>
        <s v="UC 254x254x107" u="1"/>
        <s v="UB 533x210x109" u="1"/>
        <s v="UB 762x267x147" u="1"/>
        <s v="UB 457x191x82" u="1"/>
        <s v="UC 305x305x240" u="1"/>
        <s v="UC 305x305x158" u="1"/>
        <s v="UB 686x254x125" u="1"/>
        <s v="UC 305x305x118" u="1"/>
        <s v="UC 305x305x97" u="1"/>
        <s v="FB 1200x450x50x25" u="1"/>
        <s v="UC 305x305x137" u="1"/>
        <s v="UB 406x178x54" u="1"/>
        <s v="UB 457x191x89" u="1"/>
        <s v="UB 406x178x57" u="1"/>
        <s v="UB 406x178x60" u="1"/>
        <s v="UC 254x254x89" u="1"/>
        <s v="UB 686x254x140" u="1"/>
        <s v="SHS 250x250x16.0" u="1"/>
        <s v="RHS 450x250x16.0" u="1"/>
        <s v="UC 356x406x340" u="1"/>
        <s v="UB 457x152x58" u="1"/>
        <s v="UC 203x203x86" u="1"/>
        <s v="UC 254x254x167" u="1"/>
        <s v="UC 254x254x132" u="1"/>
        <s v="UC 254x254x73" u="1"/>
        <s v="UB 762x267x197" u="1"/>
        <s v="UB 914x305x289" u="1"/>
        <s v="CHS 139.7x5.0" u="1"/>
        <s v="UC 203x203x52" u="1"/>
        <s v="RSC 305x102" u="1"/>
        <s v="UC 356x406x551" u="1"/>
        <s v="UC 203x203x71" u="1"/>
        <s v="UC 356x406x467" u="1"/>
        <s v="UC 152x152x23" u="1"/>
        <s v="UC 152x152x37" u="1"/>
        <s v="UC 356x406x235" u="1"/>
        <s v="UC 152x152x30" u="1"/>
        <s v="UC 203x203x60" u="1"/>
        <s v="UC 356x406x634" u="1"/>
        <s v="SHS 200x200x12.5" u="1"/>
        <s v="UC 356x368x153" u="1"/>
        <s v="SHS 200x200x16.0" u="1"/>
        <s v="SHS 200x200x8.0" u="1"/>
        <s v="SHS 180x180x12.5" u="1"/>
        <s v="SHS 180x180x8.0" u="1"/>
        <s v="SHS 180x180x6.3" u="1"/>
        <s v="SHS 180x180x10.0" u="1"/>
        <s v="SHS 200x200x10.0" u="1"/>
        <s v="457x191x74 UB" u="1"/>
        <s v="254x102x22 UB" u="1"/>
        <s v="406x140x39 UB" u="1"/>
        <s v="152x76 RSC" u="1"/>
        <s v="254x76 RSC" u="1"/>
        <s v="432x102 RSC" u="1"/>
        <s v="305x89 RSC" u="1"/>
        <s v="457x152x52 UB" u="1"/>
        <s v="533x210x82 UB" u="1"/>
        <s v="610x229x101 UB" u="1"/>
        <s v="305x102x28 UB" u="1"/>
        <s v="305x102x25 UB" u="1"/>
        <s v="254x102x28 UB" u="1"/>
        <s v="533x210x101 UB" u="1"/>
        <s v="406x140x46 UB" u="1"/>
        <s v="457x152x60 UB" u="1"/>
        <s v="533x210x92 UB" u="1"/>
        <s v="457x152x67 UB" u="1"/>
        <s v="457x191x67 UB" u="1"/>
        <s v="300x200x16.0 RHS" u="1"/>
        <s v="114.3x3.6 CHS" u="1"/>
        <s v="203x203x46 UC" u="1"/>
        <s v="300x200x10.0 RHS" u="1"/>
        <s v="356x406x287 UC" u="1"/>
        <s v="229x76 RSC" u="1"/>
        <s v="254x102x25 UB" u="1"/>
        <s v="356x171x45 UB" u="1"/>
        <s v="305x102x33 UB" u="1"/>
        <s v="686x254x170 UB" u="1"/>
        <s v="610x305x149 UB" u="1"/>
        <s v="178x76 RSC" u="1"/>
        <s v="356x127x39 UB" u="1"/>
        <s v="356x171x51 UB" u="1"/>
        <s v="457x152x82 UB" u="1"/>
        <s v="457x152x74 UB" u="1"/>
        <s v="610x229x140 UB" u="1"/>
        <s v="356x127x33 UB" u="1"/>
        <s v="838x292x194 UB" u="1"/>
        <s v="610x229x113 UB" u="1"/>
        <s v="152x89 RSC" u="1"/>
        <s v="139.7x5.0 CHS" u="1"/>
        <s v="203x203x52 UC" u="1"/>
        <s v="457x191x98 UB" u="1"/>
        <s v="305x165x54 UB" u="1"/>
        <s v="305x102 RSC" u="1"/>
        <s v="305x127x42 UB" u="1"/>
        <s v="305x165x46 UB" u="1"/>
        <s v="406x178x54 UB" u="1"/>
        <s v="457x191x82 UB" u="1"/>
        <s v="305x127x48 UB" u="1"/>
        <s v="610x229x125 UB" u="1"/>
        <s v="686x254x125 UB" u="1"/>
        <s v="305x305x137 UC" u="1"/>
        <s v="305x305x118 UC" u="1"/>
        <s v="406x178x60 UB" u="1"/>
        <s v="305x305x283 UC" u="1"/>
        <s v="305x305x240 UC" u="1"/>
        <s v="254x254x89 UC" u="1"/>
        <s v="406x178x67 UB" u="1"/>
        <s v="686x254x140 UB" u="1"/>
        <s v="305x305x97 UC" u="1"/>
        <s v="305x305x198 UC" u="1"/>
        <s v="250x250x16.0 SHS" u="1"/>
        <s v="450x250x16.0 RHS" u="1"/>
        <s v="356x406x340 UC" u="1"/>
        <s v="356x171x57 UB" u="1"/>
        <s v="457x191x89 UB" u="1"/>
        <s v="838x292x226 UB" u="1"/>
        <s v="533x210x122 UB" u="1"/>
        <s v="533x210x109 UB" u="1"/>
        <s v="356x171x67 UB" u="1"/>
        <s v="457x152x58 UB" u="1"/>
        <s v="305x305x158 UC" u="1"/>
        <s v="254x254x167 UC" u="1"/>
        <s v="254x254x132 UC" u="1"/>
        <s v="254x254x107 UC" u="1"/>
        <s v="762x267x147 UB" u="1"/>
        <s v="762x267x197 UB" u="1"/>
        <s v="914x305x289 UB" u="1"/>
        <s v="254x146x31 UB" u="1"/>
        <s v="1200x450x50x25 FB" u="1"/>
        <s v="406x178x57 UB" u="1"/>
        <s v="406x178x74 UB" u="1"/>
        <s v="254x146x37 UB" u="1"/>
        <s v="914x305x201 UB" u="1"/>
        <s v="305x165x40 UB" u="1"/>
        <s v="356x171x37 UB" u="1"/>
        <s v="203x203x86 UC" u="1"/>
        <s v="254x254x73 UC" u="1"/>
        <s v="152x152x23 UC" u="1"/>
        <s v="152x152x37 UC" u="1"/>
        <s v="203x203x71 UC" u="1"/>
        <s v="152x152x30 UC" u="1"/>
        <s v="356x406x235 UC" u="1"/>
        <s v="356x406x551 UC" u="1"/>
        <s v="356x368x153 UC" u="1"/>
        <s v="200x200x12.5 SHS" u="1"/>
        <s v="203x203x60 UC" u="1"/>
        <s v="180x180x12.5 SHS" u="1"/>
        <s v="180x180x8.0 SHS" u="1"/>
        <s v="200x200x16.0 SHS" u="1"/>
        <s v="200x200x8.0 SHS" u="1"/>
        <s v="180x180x6.3 SHS" u="1"/>
        <s v="200x200x10.0 SHS" u="1"/>
        <s v="180x180x10.0 SHS" u="1"/>
      </sharedItems>
    </cacheField>
    <cacheField name="Section Area" numFmtId="0">
      <sharedItems containsNonDate="0" containsString="0" containsBlank="1"/>
    </cacheField>
    <cacheField name="Total Length" numFmtId="0">
      <sharedItems containsNonDate="0" containsString="0" containsBlank="1"/>
    </cacheField>
    <cacheField name="Including Cutoff" numFmtId="0">
      <sharedItems containsNonDate="0" containsString="0" containsBlank="1"/>
    </cacheField>
    <cacheField name="Rounded Length" numFmtId="0">
      <sharedItems containsNonDate="0" containsString="0" containsBlank="1" containsNumber="1" minValue="0" maxValue="14.5" count="56">
        <m/>
        <n v="7" u="1"/>
        <n v="3" u="1"/>
        <n v="1" u="1"/>
        <n v="4" u="1"/>
        <n v="0" u="1"/>
        <n v="6" u="1"/>
        <n v="2" u="1"/>
        <n v="5" u="1"/>
        <n v="11" u="1"/>
        <n v="9" u="1"/>
        <n v="10" u="1"/>
        <n v="8" u="1"/>
        <n v="14" u="1"/>
        <n v="12" u="1"/>
        <n v="13" u="1"/>
        <n v="3.5" u="1"/>
        <n v="1.5" u="1"/>
        <n v="4.5" u="1"/>
        <n v="0.5" u="1"/>
        <n v="5.5" u="1"/>
        <n v="2.5" u="1"/>
        <n v="6.5" u="1"/>
        <n v="7.5" u="1"/>
        <n v="10.5" u="1"/>
        <n v="9.5" u="1"/>
        <n v="8.5" u="1"/>
        <n v="11.5" u="1"/>
        <n v="14.5" u="1"/>
        <n v="12.5" u="1"/>
        <n v="3.75" u="1"/>
        <n v="1.75" u="1"/>
        <n v="3.25" u="1"/>
        <n v="2.25" u="1"/>
        <n v="2.75" u="1"/>
        <n v="7.25" u="1"/>
        <n v="6.25" u="1"/>
        <n v="6.75" u="1"/>
        <n v="4.25" u="1"/>
        <n v="4.75" u="1"/>
        <n v="0.75" u="1"/>
        <n v="1.25" u="1"/>
        <n v="5.25" u="1"/>
        <n v="11.75" u="1"/>
        <n v="9.75" u="1"/>
        <n v="5.75" u="1"/>
        <n v="11.25" u="1"/>
        <n v="9.25" u="1"/>
        <n v="0.25" u="1"/>
        <n v="10.75" u="1"/>
        <n v="8.25" u="1"/>
        <n v="8.75" u="1"/>
        <n v="12.75" u="1"/>
        <n v="7.75" u="1"/>
        <n v="13.25" u="1"/>
        <n v="10.25" u="1"/>
      </sharedItems>
    </cacheField>
    <cacheField name="Total Volume" numFmtId="0">
      <sharedItems containsNonDate="0" containsString="0" containsBlank="1"/>
    </cacheField>
    <cacheField name="Plot" numFmtId="0">
      <sharedItems containsNonDate="0" containsBlank="1" count="3">
        <m/>
        <s v="YES" u="1"/>
        <s v="N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  <r>
    <x v="0"/>
    <x v="0"/>
    <m/>
    <m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4D6F7-C4D7-400F-9F38-F61F32B03FD6}" name="PivotTable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C7" firstHeaderRow="1" firstDataRow="2" firstDataCol="1" rowPageCount="2" colPageCount="1"/>
  <pivotFields count="8">
    <pivotField axis="axisPage" showAll="0">
      <items count="11">
        <item m="1" x="7"/>
        <item m="1" x="3"/>
        <item m="1" x="2"/>
        <item m="1" x="6"/>
        <item m="1" x="9"/>
        <item m="1" x="8"/>
        <item m="1" x="1"/>
        <item m="1" x="4"/>
        <item x="0"/>
        <item m="1" x="5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m="1" x="6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5"/>
        <item m="1" x="29"/>
        <item m="1" x="24"/>
        <item m="1" x="27"/>
        <item m="1" x="28"/>
        <item m="1" x="30"/>
        <item m="1" x="31"/>
        <item m="1" x="32"/>
        <item m="1" x="33"/>
        <item m="1" x="34"/>
        <item m="1" x="35"/>
        <item m="1" x="36"/>
        <item m="1" x="2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6"/>
        <item m="1" x="77"/>
        <item m="1" x="78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75"/>
        <item m="1" x="97"/>
        <item m="1" x="98"/>
        <item m="1" x="99"/>
        <item m="1" x="100"/>
        <item m="1" x="79"/>
        <item m="1" x="102"/>
        <item m="1" x="103"/>
        <item m="1" x="104"/>
        <item m="1" x="105"/>
        <item m="1" x="106"/>
        <item m="1" x="107"/>
        <item m="1" x="108"/>
        <item m="1" x="101"/>
        <item m="1" x="109"/>
        <item m="1" x="110"/>
        <item m="1" x="111"/>
        <item m="1" x="112"/>
        <item m="1" x="113"/>
        <item m="1" x="114"/>
        <item m="1" x="116"/>
        <item m="1" x="115"/>
        <item m="1" x="117"/>
        <item m="1" x="118"/>
        <item m="1" x="119"/>
        <item m="1" x="120"/>
        <item m="1" x="121"/>
        <item m="1" x="122"/>
        <item m="1" x="123"/>
        <item m="1" x="124"/>
        <item m="1" x="73"/>
        <item m="1" x="74"/>
        <item t="default"/>
      </items>
    </pivotField>
    <pivotField showAll="0"/>
    <pivotField showAll="0"/>
    <pivotField showAll="0"/>
    <pivotField axis="axisRow" showAll="0">
      <items count="57">
        <item m="1" x="5"/>
        <item m="1" x="19"/>
        <item m="1" x="3"/>
        <item m="1" x="17"/>
        <item m="1" x="7"/>
        <item m="1" x="21"/>
        <item m="1" x="2"/>
        <item m="1" x="16"/>
        <item m="1" x="4"/>
        <item m="1" x="18"/>
        <item m="1" x="8"/>
        <item m="1" x="20"/>
        <item m="1" x="6"/>
        <item m="1" x="22"/>
        <item m="1" x="1"/>
        <item m="1" x="23"/>
        <item m="1" x="12"/>
        <item m="1" x="26"/>
        <item m="1" x="10"/>
        <item m="1" x="25"/>
        <item m="1" x="11"/>
        <item m="1" x="24"/>
        <item m="1" x="9"/>
        <item m="1" x="27"/>
        <item m="1" x="14"/>
        <item m="1" x="29"/>
        <item x="0"/>
        <item m="1" x="15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13"/>
        <item t="default"/>
      </items>
    </pivotField>
    <pivotField dataField="1" showAll="0"/>
    <pivotField axis="axisPage" showAll="0">
      <items count="4">
        <item m="1" x="2"/>
        <item m="1" x="1"/>
        <item x="0"/>
        <item t="default"/>
      </items>
    </pivotField>
  </pivotFields>
  <rowFields count="1">
    <field x="5"/>
  </rowFields>
  <rowItems count="2">
    <i>
      <x v="26"/>
    </i>
    <i t="grand">
      <x/>
    </i>
  </rowItems>
  <colFields count="1">
    <field x="1"/>
  </colFields>
  <colItems count="2">
    <i>
      <x v="106"/>
    </i>
    <i t="grand">
      <x/>
    </i>
  </colItems>
  <pageFields count="2">
    <pageField fld="0" item="8" hier="-1"/>
    <pageField fld="7" item="2" hier="-1"/>
  </pageFields>
  <dataFields count="1">
    <dataField name="Sum of Total Volume" fld="6" baseField="0" baseItem="0"/>
  </dataFields>
  <chartFormats count="17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6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6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6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6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6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6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6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6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6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6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6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6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6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6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6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6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6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6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6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6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6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6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6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6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6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6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6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6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6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6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6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6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6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6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6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6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6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E7351D-F077-4E86-952B-8D8360B73E3B}" name="PivotTable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C7" firstHeaderRow="1" firstDataRow="2" firstDataCol="1" rowPageCount="2" colPageCount="1"/>
  <pivotFields count="8">
    <pivotField axis="axisPage" showAll="0">
      <items count="11">
        <item m="1" x="7"/>
        <item m="1" x="3"/>
        <item m="1" x="2"/>
        <item m="1" x="6"/>
        <item m="1" x="9"/>
        <item m="1" x="8"/>
        <item m="1" x="1"/>
        <item m="1" x="4"/>
        <item x="0"/>
        <item m="1" x="5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m="1" x="6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5"/>
        <item m="1" x="29"/>
        <item m="1" x="24"/>
        <item m="1" x="27"/>
        <item m="1" x="28"/>
        <item m="1" x="30"/>
        <item m="1" x="31"/>
        <item m="1" x="32"/>
        <item m="1" x="33"/>
        <item m="1" x="34"/>
        <item m="1" x="35"/>
        <item m="1" x="36"/>
        <item m="1" x="2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6"/>
        <item m="1" x="77"/>
        <item m="1" x="78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75"/>
        <item m="1" x="97"/>
        <item m="1" x="98"/>
        <item m="1" x="99"/>
        <item m="1" x="100"/>
        <item m="1" x="79"/>
        <item m="1" x="102"/>
        <item m="1" x="103"/>
        <item m="1" x="104"/>
        <item m="1" x="105"/>
        <item m="1" x="106"/>
        <item m="1" x="107"/>
        <item m="1" x="108"/>
        <item m="1" x="101"/>
        <item m="1" x="109"/>
        <item m="1" x="110"/>
        <item m="1" x="111"/>
        <item m="1" x="112"/>
        <item m="1" x="113"/>
        <item m="1" x="114"/>
        <item m="1" x="116"/>
        <item m="1" x="115"/>
        <item m="1" x="117"/>
        <item m="1" x="118"/>
        <item m="1" x="119"/>
        <item m="1" x="120"/>
        <item m="1" x="121"/>
        <item m="1" x="122"/>
        <item m="1" x="123"/>
        <item m="1" x="124"/>
        <item m="1" x="73"/>
        <item m="1" x="74"/>
        <item t="default"/>
      </items>
    </pivotField>
    <pivotField showAll="0"/>
    <pivotField showAll="0"/>
    <pivotField showAll="0"/>
    <pivotField axis="axisRow" showAll="0">
      <items count="57">
        <item m="1" x="5"/>
        <item m="1" x="19"/>
        <item m="1" x="3"/>
        <item m="1" x="17"/>
        <item m="1" x="7"/>
        <item m="1" x="21"/>
        <item m="1" x="2"/>
        <item m="1" x="16"/>
        <item m="1" x="4"/>
        <item m="1" x="18"/>
        <item m="1" x="8"/>
        <item m="1" x="20"/>
        <item m="1" x="6"/>
        <item m="1" x="22"/>
        <item m="1" x="1"/>
        <item m="1" x="23"/>
        <item m="1" x="12"/>
        <item m="1" x="26"/>
        <item m="1" x="10"/>
        <item m="1" x="25"/>
        <item m="1" x="11"/>
        <item m="1" x="24"/>
        <item m="1" x="9"/>
        <item m="1" x="27"/>
        <item m="1" x="14"/>
        <item m="1" x="29"/>
        <item x="0"/>
        <item m="1" x="15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13"/>
        <item t="default"/>
      </items>
    </pivotField>
    <pivotField dataField="1" showAll="0"/>
    <pivotField axis="axisPage" showAll="0">
      <items count="4">
        <item m="1" x="2"/>
        <item m="1" x="1"/>
        <item x="0"/>
        <item t="default"/>
      </items>
    </pivotField>
  </pivotFields>
  <rowFields count="1">
    <field x="5"/>
  </rowFields>
  <rowItems count="2">
    <i>
      <x v="26"/>
    </i>
    <i t="grand">
      <x/>
    </i>
  </rowItems>
  <colFields count="1">
    <field x="1"/>
  </colFields>
  <colItems count="2">
    <i>
      <x v="106"/>
    </i>
    <i t="grand">
      <x/>
    </i>
  </colItems>
  <pageFields count="2">
    <pageField fld="0" item="8" hier="-1"/>
    <pageField fld="7" item="2" hier="-1"/>
  </pageFields>
  <dataFields count="1">
    <dataField name="Sum of Total Volume" fld="6" baseField="0" baseItem="0"/>
  </dataFields>
  <chartFormats count="16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8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2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2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8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54EA42-E468-4092-976C-39F0EAD786DB}" name="PivotTable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B6" firstHeaderRow="1" firstDataRow="2" firstDataCol="1" rowPageCount="2" colPageCount="1"/>
  <pivotFields count="8">
    <pivotField axis="axisPage" multipleItemSelectionAllowed="1" showAll="0">
      <items count="11">
        <item h="1" m="1" x="7"/>
        <item h="1" m="1" x="3"/>
        <item h="1" m="1" x="2"/>
        <item m="1" x="6"/>
        <item h="1" m="1" x="9"/>
        <item m="1" x="8"/>
        <item h="1" m="1" x="1"/>
        <item h="1" m="1" x="4"/>
        <item h="1" x="0"/>
        <item h="1" m="1" x="5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m="1" x="6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5"/>
        <item m="1" x="29"/>
        <item m="1" x="24"/>
        <item m="1" x="27"/>
        <item m="1" x="28"/>
        <item m="1" x="30"/>
        <item m="1" x="31"/>
        <item m="1" x="32"/>
        <item m="1" x="33"/>
        <item m="1" x="34"/>
        <item m="1" x="35"/>
        <item m="1" x="36"/>
        <item m="1" x="2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6"/>
        <item m="1" x="77"/>
        <item m="1" x="78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75"/>
        <item m="1" x="97"/>
        <item m="1" x="98"/>
        <item m="1" x="99"/>
        <item m="1" x="100"/>
        <item m="1" x="79"/>
        <item m="1" x="102"/>
        <item m="1" x="103"/>
        <item m="1" x="104"/>
        <item m="1" x="105"/>
        <item m="1" x="106"/>
        <item m="1" x="107"/>
        <item m="1" x="108"/>
        <item m="1" x="101"/>
        <item m="1" x="109"/>
        <item m="1" x="110"/>
        <item m="1" x="111"/>
        <item m="1" x="112"/>
        <item m="1" x="113"/>
        <item m="1" x="114"/>
        <item m="1" x="116"/>
        <item m="1" x="115"/>
        <item m="1" x="117"/>
        <item m="1" x="118"/>
        <item m="1" x="119"/>
        <item m="1" x="120"/>
        <item m="1" x="121"/>
        <item m="1" x="122"/>
        <item m="1" x="123"/>
        <item m="1" x="124"/>
        <item m="1" x="73"/>
        <item m="1" x="74"/>
        <item t="default"/>
      </items>
    </pivotField>
    <pivotField showAll="0"/>
    <pivotField showAll="0"/>
    <pivotField showAll="0"/>
    <pivotField axis="axisRow" showAll="0">
      <items count="57">
        <item m="1" x="5"/>
        <item m="1" x="19"/>
        <item m="1" x="3"/>
        <item m="1" x="17"/>
        <item m="1" x="7"/>
        <item m="1" x="21"/>
        <item m="1" x="2"/>
        <item m="1" x="16"/>
        <item m="1" x="4"/>
        <item m="1" x="18"/>
        <item m="1" x="8"/>
        <item m="1" x="20"/>
        <item m="1" x="6"/>
        <item m="1" x="22"/>
        <item m="1" x="1"/>
        <item m="1" x="23"/>
        <item m="1" x="12"/>
        <item m="1" x="26"/>
        <item m="1" x="10"/>
        <item m="1" x="25"/>
        <item m="1" x="11"/>
        <item m="1" x="24"/>
        <item m="1" x="9"/>
        <item m="1" x="27"/>
        <item m="1" x="14"/>
        <item m="1" x="29"/>
        <item x="0"/>
        <item m="1" x="15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13"/>
        <item t="default"/>
      </items>
    </pivotField>
    <pivotField dataField="1" showAll="0"/>
    <pivotField axis="axisPage" showAll="0">
      <items count="4">
        <item m="1" x="2"/>
        <item m="1" x="1"/>
        <item x="0"/>
        <item t="default"/>
      </items>
    </pivotField>
  </pivotFields>
  <rowFields count="1">
    <field x="5"/>
  </rowFields>
  <rowItems count="1">
    <i t="grand">
      <x/>
    </i>
  </rowItems>
  <colFields count="1">
    <field x="1"/>
  </colFields>
  <colItems count="1">
    <i t="grand">
      <x/>
    </i>
  </colItems>
  <pageFields count="2">
    <pageField fld="0" hier="-1"/>
    <pageField fld="7" item="2" hier="-1"/>
  </pageFields>
  <dataFields count="1">
    <dataField name="Sum of Total Volume" fld="6" baseField="0" baseItem="0"/>
  </dataFields>
  <chartFormats count="17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7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7" format="27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246F66-53AD-4EDB-B43D-14E8576E3BB4}" name="PivotTable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C7" firstHeaderRow="1" firstDataRow="2" firstDataCol="1" rowPageCount="2" colPageCount="1"/>
  <pivotFields count="8">
    <pivotField axis="axisPage" showAll="0">
      <items count="11">
        <item m="1" x="7"/>
        <item m="1" x="3"/>
        <item m="1" x="2"/>
        <item m="1" x="6"/>
        <item m="1" x="9"/>
        <item m="1" x="8"/>
        <item m="1" x="1"/>
        <item m="1" x="4"/>
        <item x="0"/>
        <item m="1" x="5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m="1" x="6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5"/>
        <item m="1" x="29"/>
        <item m="1" x="24"/>
        <item m="1" x="27"/>
        <item m="1" x="28"/>
        <item m="1" x="30"/>
        <item m="1" x="31"/>
        <item m="1" x="32"/>
        <item m="1" x="33"/>
        <item m="1" x="34"/>
        <item m="1" x="35"/>
        <item m="1" x="36"/>
        <item m="1" x="2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6"/>
        <item m="1" x="77"/>
        <item m="1" x="78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75"/>
        <item m="1" x="97"/>
        <item m="1" x="98"/>
        <item m="1" x="99"/>
        <item m="1" x="100"/>
        <item m="1" x="79"/>
        <item m="1" x="102"/>
        <item m="1" x="103"/>
        <item m="1" x="104"/>
        <item m="1" x="105"/>
        <item m="1" x="106"/>
        <item m="1" x="107"/>
        <item m="1" x="108"/>
        <item m="1" x="101"/>
        <item m="1" x="109"/>
        <item m="1" x="110"/>
        <item m="1" x="111"/>
        <item m="1" x="112"/>
        <item m="1" x="113"/>
        <item m="1" x="114"/>
        <item m="1" x="116"/>
        <item m="1" x="115"/>
        <item m="1" x="117"/>
        <item m="1" x="118"/>
        <item m="1" x="119"/>
        <item m="1" x="120"/>
        <item m="1" x="121"/>
        <item m="1" x="122"/>
        <item m="1" x="123"/>
        <item m="1" x="124"/>
        <item m="1" x="73"/>
        <item m="1" x="74"/>
        <item t="default"/>
      </items>
    </pivotField>
    <pivotField showAll="0"/>
    <pivotField showAll="0"/>
    <pivotField showAll="0"/>
    <pivotField axis="axisRow" showAll="0">
      <items count="57">
        <item m="1" x="5"/>
        <item m="1" x="19"/>
        <item m="1" x="3"/>
        <item m="1" x="17"/>
        <item m="1" x="7"/>
        <item m="1" x="21"/>
        <item m="1" x="2"/>
        <item m="1" x="16"/>
        <item m="1" x="4"/>
        <item m="1" x="18"/>
        <item m="1" x="8"/>
        <item m="1" x="20"/>
        <item m="1" x="6"/>
        <item m="1" x="22"/>
        <item m="1" x="1"/>
        <item m="1" x="23"/>
        <item m="1" x="12"/>
        <item m="1" x="26"/>
        <item m="1" x="10"/>
        <item m="1" x="25"/>
        <item m="1" x="11"/>
        <item m="1" x="24"/>
        <item m="1" x="9"/>
        <item m="1" x="27"/>
        <item m="1" x="14"/>
        <item m="1" x="29"/>
        <item x="0"/>
        <item m="1" x="15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13"/>
        <item t="default"/>
      </items>
    </pivotField>
    <pivotField dataField="1" showAll="0"/>
    <pivotField axis="axisPage" showAll="0">
      <items count="4">
        <item m="1" x="2"/>
        <item m="1" x="1"/>
        <item x="0"/>
        <item t="default"/>
      </items>
    </pivotField>
  </pivotFields>
  <rowFields count="1">
    <field x="5"/>
  </rowFields>
  <rowItems count="2">
    <i>
      <x v="26"/>
    </i>
    <i t="grand">
      <x/>
    </i>
  </rowItems>
  <colFields count="1">
    <field x="1"/>
  </colFields>
  <colItems count="2">
    <i>
      <x v="106"/>
    </i>
    <i t="grand">
      <x/>
    </i>
  </colItems>
  <pageFields count="2">
    <pageField fld="0" item="8" hier="-1"/>
    <pageField fld="7" item="2" hier="-1"/>
  </pageFields>
  <dataFields count="1">
    <dataField name="Sum of Total Volume" fld="6" baseField="0" baseItem="0"/>
  </dataFields>
  <chartFormats count="16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4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4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4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4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4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4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4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2FD24-B72B-4AE1-B734-94D8817A3F4D}" name="PivotTable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B6" firstHeaderRow="1" firstDataRow="2" firstDataCol="1" rowPageCount="2" colPageCount="1"/>
  <pivotFields count="8">
    <pivotField axis="axisPage" multipleItemSelectionAllowed="1" showAll="0">
      <items count="11">
        <item h="1" m="1" x="7"/>
        <item m="1" x="3"/>
        <item h="1" m="1" x="2"/>
        <item h="1" m="1" x="6"/>
        <item m="1" x="9"/>
        <item h="1" m="1" x="8"/>
        <item h="1" m="1" x="1"/>
        <item h="1" m="1" x="4"/>
        <item h="1" x="0"/>
        <item m="1" x="5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m="1" x="6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5"/>
        <item m="1" x="29"/>
        <item m="1" x="24"/>
        <item m="1" x="27"/>
        <item m="1" x="28"/>
        <item m="1" x="30"/>
        <item m="1" x="31"/>
        <item m="1" x="32"/>
        <item m="1" x="33"/>
        <item m="1" x="34"/>
        <item m="1" x="35"/>
        <item m="1" x="36"/>
        <item m="1" x="2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6"/>
        <item m="1" x="77"/>
        <item m="1" x="78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75"/>
        <item m="1" x="97"/>
        <item m="1" x="98"/>
        <item m="1" x="99"/>
        <item m="1" x="100"/>
        <item m="1" x="79"/>
        <item m="1" x="102"/>
        <item m="1" x="103"/>
        <item m="1" x="104"/>
        <item m="1" x="105"/>
        <item m="1" x="106"/>
        <item m="1" x="107"/>
        <item m="1" x="108"/>
        <item m="1" x="101"/>
        <item m="1" x="109"/>
        <item m="1" x="110"/>
        <item m="1" x="111"/>
        <item m="1" x="112"/>
        <item m="1" x="113"/>
        <item m="1" x="114"/>
        <item m="1" x="116"/>
        <item m="1" x="115"/>
        <item m="1" x="117"/>
        <item m="1" x="118"/>
        <item m="1" x="119"/>
        <item m="1" x="120"/>
        <item m="1" x="121"/>
        <item m="1" x="122"/>
        <item m="1" x="123"/>
        <item m="1" x="124"/>
        <item m="1" x="73"/>
        <item m="1" x="74"/>
        <item t="default"/>
      </items>
    </pivotField>
    <pivotField showAll="0"/>
    <pivotField showAll="0"/>
    <pivotField showAll="0"/>
    <pivotField axis="axisRow" showAll="0">
      <items count="57">
        <item m="1" x="5"/>
        <item m="1" x="19"/>
        <item m="1" x="3"/>
        <item m="1" x="17"/>
        <item m="1" x="7"/>
        <item m="1" x="21"/>
        <item m="1" x="2"/>
        <item m="1" x="16"/>
        <item m="1" x="4"/>
        <item m="1" x="18"/>
        <item m="1" x="8"/>
        <item m="1" x="20"/>
        <item m="1" x="6"/>
        <item m="1" x="22"/>
        <item m="1" x="1"/>
        <item m="1" x="23"/>
        <item m="1" x="12"/>
        <item m="1" x="26"/>
        <item m="1" x="10"/>
        <item m="1" x="25"/>
        <item m="1" x="11"/>
        <item m="1" x="24"/>
        <item m="1" x="9"/>
        <item m="1" x="27"/>
        <item m="1" x="14"/>
        <item m="1" x="29"/>
        <item x="0"/>
        <item m="1" x="15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13"/>
        <item t="default"/>
      </items>
    </pivotField>
    <pivotField dataField="1" showAll="0"/>
    <pivotField axis="axisPage" showAll="0">
      <items count="4">
        <item m="1" x="2"/>
        <item m="1" x="1"/>
        <item x="0"/>
        <item t="default"/>
      </items>
    </pivotField>
  </pivotFields>
  <rowFields count="1">
    <field x="5"/>
  </rowFields>
  <rowItems count="1">
    <i t="grand">
      <x/>
    </i>
  </rowItems>
  <colFields count="1">
    <field x="1"/>
  </colFields>
  <colItems count="1">
    <i t="grand">
      <x/>
    </i>
  </colItems>
  <pageFields count="2">
    <pageField fld="0" hier="-1"/>
    <pageField fld="7" item="2" hier="-1"/>
  </pageFields>
  <dataFields count="1">
    <dataField name="Sum of Total Volume" fld="6" baseField="0" baseItem="0"/>
  </dataFields>
  <chartFormats count="20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5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5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5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5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5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5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5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5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5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8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8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8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8" format="2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5" format="2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5" format="2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5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5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5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5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5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5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5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8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8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8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8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8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8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8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8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8" format="2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8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8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5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09A62-99F0-446E-9445-09DE4D7ADF34}" name="PivotTable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C7" firstHeaderRow="1" firstDataRow="2" firstDataCol="1" rowPageCount="2" colPageCount="1"/>
  <pivotFields count="8">
    <pivotField axis="axisPage" showAll="0">
      <items count="11">
        <item m="1" x="7"/>
        <item m="1" x="3"/>
        <item m="1" x="2"/>
        <item m="1" x="6"/>
        <item m="1" x="9"/>
        <item m="1" x="8"/>
        <item m="1" x="1"/>
        <item m="1" x="4"/>
        <item x="0"/>
        <item m="1" x="5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m="1" x="6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5"/>
        <item m="1" x="29"/>
        <item m="1" x="24"/>
        <item m="1" x="27"/>
        <item m="1" x="28"/>
        <item m="1" x="30"/>
        <item m="1" x="31"/>
        <item m="1" x="32"/>
        <item m="1" x="33"/>
        <item m="1" x="34"/>
        <item m="1" x="35"/>
        <item m="1" x="36"/>
        <item m="1" x="2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6"/>
        <item m="1" x="77"/>
        <item m="1" x="78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75"/>
        <item m="1" x="97"/>
        <item m="1" x="98"/>
        <item m="1" x="99"/>
        <item m="1" x="100"/>
        <item m="1" x="79"/>
        <item m="1" x="102"/>
        <item m="1" x="103"/>
        <item m="1" x="104"/>
        <item m="1" x="105"/>
        <item m="1" x="106"/>
        <item m="1" x="107"/>
        <item m="1" x="108"/>
        <item m="1" x="101"/>
        <item m="1" x="109"/>
        <item m="1" x="110"/>
        <item m="1" x="111"/>
        <item m="1" x="112"/>
        <item m="1" x="113"/>
        <item m="1" x="114"/>
        <item m="1" x="116"/>
        <item m="1" x="115"/>
        <item m="1" x="117"/>
        <item m="1" x="118"/>
        <item m="1" x="119"/>
        <item m="1" x="120"/>
        <item m="1" x="121"/>
        <item m="1" x="122"/>
        <item m="1" x="123"/>
        <item m="1" x="124"/>
        <item m="1" x="73"/>
        <item m="1" x="74"/>
        <item t="default"/>
      </items>
    </pivotField>
    <pivotField showAll="0"/>
    <pivotField showAll="0"/>
    <pivotField showAll="0"/>
    <pivotField axis="axisRow" showAll="0">
      <items count="57">
        <item m="1" x="5"/>
        <item m="1" x="19"/>
        <item m="1" x="3"/>
        <item m="1" x="17"/>
        <item m="1" x="7"/>
        <item m="1" x="21"/>
        <item m="1" x="2"/>
        <item m="1" x="16"/>
        <item m="1" x="4"/>
        <item m="1" x="18"/>
        <item m="1" x="8"/>
        <item m="1" x="20"/>
        <item m="1" x="6"/>
        <item m="1" x="22"/>
        <item m="1" x="1"/>
        <item m="1" x="23"/>
        <item m="1" x="12"/>
        <item m="1" x="26"/>
        <item m="1" x="10"/>
        <item m="1" x="25"/>
        <item m="1" x="11"/>
        <item m="1" x="24"/>
        <item m="1" x="9"/>
        <item m="1" x="27"/>
        <item m="1" x="14"/>
        <item m="1" x="29"/>
        <item x="0"/>
        <item m="1" x="15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13"/>
        <item t="default"/>
      </items>
    </pivotField>
    <pivotField dataField="1" showAll="0"/>
    <pivotField axis="axisPage" showAll="0">
      <items count="4">
        <item m="1" x="2"/>
        <item m="1" x="1"/>
        <item x="0"/>
        <item t="default"/>
      </items>
    </pivotField>
  </pivotFields>
  <rowFields count="1">
    <field x="5"/>
  </rowFields>
  <rowItems count="2">
    <i>
      <x v="26"/>
    </i>
    <i t="grand">
      <x/>
    </i>
  </rowItems>
  <colFields count="1">
    <field x="1"/>
  </colFields>
  <colItems count="2">
    <i>
      <x v="106"/>
    </i>
    <i t="grand">
      <x/>
    </i>
  </colItems>
  <pageFields count="2">
    <pageField fld="0" item="8" hier="-1"/>
    <pageField fld="7" item="2" hier="-1"/>
  </pageFields>
  <dataFields count="1">
    <dataField name="Sum of Total Volume" fld="6" baseField="6" baseItem="11"/>
  </dataFields>
  <chartFormats count="317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1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1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1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1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1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1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1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1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1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1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1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1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1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1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1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1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1" format="2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1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1" format="2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1" format="2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1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1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1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1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1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1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1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1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1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1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1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1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1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1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1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1" format="29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4" format="3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4" format="3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4" format="3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4" format="3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4" format="3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4" format="3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4" format="3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4" format="3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4" format="3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4" format="3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4" format="3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4" format="3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4" format="3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4" format="3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4" format="3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4" format="3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4" format="3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4" format="3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4" format="3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4" format="3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4" format="3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4" format="3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4" format="3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4" format="3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4" format="3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4" format="3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4" format="3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4" format="3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4" format="3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4" format="3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4" format="3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4" format="3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4" format="3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4" format="3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4" format="3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4" format="3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4" format="3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4" format="3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4" format="3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4" format="3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4" format="3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4" format="3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4" format="3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4" format="3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4" format="3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4" format="3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4" format="3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4" format="3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4" format="3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4" format="3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4" format="3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4" format="3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4" format="3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4" format="3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4" format="3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4" format="3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4" format="3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4" format="3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4" format="3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4" format="3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4" format="3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4" format="3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4" format="3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4" format="3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4" format="3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4" format="3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4" format="3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4" format="3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4" format="3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4" format="3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1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1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1" format="3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1" format="3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1" format="3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1" format="3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1" format="3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1" format="3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1" format="3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1" format="3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1" format="3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1" format="3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1" format="3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1" format="4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1" format="4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4" format="3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4" format="3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4" format="4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4" format="4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4" format="4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1" format="4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1" format="4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1" format="4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1" format="4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4" format="4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1" format="4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4" format="4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145F9-BE1C-4052-B12B-69CE06DED828}">
  <sheetPr codeName="Sheet2"/>
  <dimension ref="A1:C4"/>
  <sheetViews>
    <sheetView workbookViewId="0"/>
  </sheetViews>
  <sheetFormatPr defaultRowHeight="14.25" x14ac:dyDescent="0.25"/>
  <sheetData>
    <row r="1" spans="1:3" x14ac:dyDescent="0.25">
      <c r="A1" t="s">
        <v>0</v>
      </c>
    </row>
    <row r="2" spans="1:3" x14ac:dyDescent="0.25">
      <c r="A2" t="s">
        <v>1</v>
      </c>
      <c r="B2" t="s">
        <v>37</v>
      </c>
      <c r="C2" t="s">
        <v>2</v>
      </c>
    </row>
    <row r="3" spans="1:3" x14ac:dyDescent="0.25">
      <c r="A3" t="s">
        <v>3</v>
      </c>
      <c r="B3" t="s">
        <v>38</v>
      </c>
      <c r="C3" t="s">
        <v>4</v>
      </c>
    </row>
    <row r="4" spans="1:3" x14ac:dyDescent="0.25">
      <c r="A4" t="s">
        <v>5</v>
      </c>
      <c r="B4" t="s">
        <v>39</v>
      </c>
      <c r="C4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F292D-3B6B-40A2-8247-CF73083A1A9D}">
  <sheetPr codeName="Sheet1">
    <tabColor theme="9" tint="0.59999389629810485"/>
  </sheetPr>
  <dimension ref="A1:AT56"/>
  <sheetViews>
    <sheetView showGridLines="0" tabSelected="1" showRuler="0" view="pageLayout" zoomScale="80" zoomScaleNormal="100" zoomScaleSheetLayoutView="100" zoomScalePageLayoutView="80" workbookViewId="0">
      <selection activeCell="AZ6" sqref="AZ6"/>
    </sheetView>
  </sheetViews>
  <sheetFormatPr defaultColWidth="4.5703125" defaultRowHeight="12" x14ac:dyDescent="0.2"/>
  <cols>
    <col min="1" max="18" width="4.5703125" style="4"/>
    <col min="19" max="19" width="4.5703125" style="4" customWidth="1"/>
    <col min="20" max="16384" width="4.5703125" style="4"/>
  </cols>
  <sheetData>
    <row r="1" spans="1:46" ht="15" customHeight="1" x14ac:dyDescent="0.2">
      <c r="B1" s="20" t="s">
        <v>7</v>
      </c>
      <c r="C1" s="20"/>
      <c r="D1" s="20"/>
      <c r="E1" s="20"/>
      <c r="F1" s="20"/>
    </row>
    <row r="2" spans="1:46" x14ac:dyDescent="0.2">
      <c r="C2" s="10"/>
      <c r="D2" s="10"/>
      <c r="E2" s="10"/>
    </row>
    <row r="3" spans="1:46" ht="14.25" customHeight="1" x14ac:dyDescent="0.2">
      <c r="B3" s="22" t="s">
        <v>8</v>
      </c>
      <c r="C3" s="22"/>
      <c r="D3" s="22"/>
      <c r="E3" s="23">
        <v>0.2</v>
      </c>
      <c r="F3" s="21" t="s">
        <v>9</v>
      </c>
    </row>
    <row r="4" spans="1:46" x14ac:dyDescent="0.2">
      <c r="B4" s="22"/>
      <c r="C4" s="22"/>
      <c r="D4" s="22"/>
      <c r="E4" s="23"/>
      <c r="F4" s="21"/>
    </row>
    <row r="6" spans="1:46" x14ac:dyDescent="0.2">
      <c r="B6" s="22" t="s">
        <v>10</v>
      </c>
      <c r="C6" s="22"/>
      <c r="D6" s="22"/>
      <c r="E6" s="23">
        <v>1</v>
      </c>
      <c r="F6" s="21" t="s">
        <v>9</v>
      </c>
    </row>
    <row r="7" spans="1:46" x14ac:dyDescent="0.2">
      <c r="B7" s="22"/>
      <c r="C7" s="22"/>
      <c r="D7" s="22"/>
      <c r="E7" s="23"/>
      <c r="F7" s="21"/>
    </row>
    <row r="9" spans="1:46" x14ac:dyDescent="0.2">
      <c r="B9" s="22" t="s">
        <v>11</v>
      </c>
      <c r="C9" s="22"/>
      <c r="D9" s="22"/>
      <c r="E9" s="23">
        <v>10</v>
      </c>
      <c r="F9" s="21" t="s">
        <v>12</v>
      </c>
    </row>
    <row r="10" spans="1:46" x14ac:dyDescent="0.2">
      <c r="B10" s="22"/>
      <c r="C10" s="22"/>
      <c r="D10" s="22"/>
      <c r="E10" s="23"/>
      <c r="F10" s="21"/>
    </row>
    <row r="13" spans="1:46" ht="15" customHeight="1" x14ac:dyDescent="0.2"/>
    <row r="14" spans="1:46" ht="13.15" customHeight="1" x14ac:dyDescent="0.2">
      <c r="A14" s="14"/>
      <c r="B14" s="14"/>
      <c r="C14" s="14"/>
      <c r="D14" s="14"/>
      <c r="E14" s="14"/>
      <c r="F14" s="14"/>
      <c r="G14" s="14"/>
      <c r="AT14" s="9"/>
    </row>
    <row r="15" spans="1:46" x14ac:dyDescent="0.2">
      <c r="A15" s="14"/>
      <c r="B15" s="14"/>
      <c r="C15" s="14"/>
      <c r="D15" s="14"/>
      <c r="E15" s="14"/>
      <c r="F15" s="14"/>
      <c r="G15" s="14"/>
      <c r="AT15" s="9"/>
    </row>
    <row r="16" spans="1:46" x14ac:dyDescent="0.2">
      <c r="AT16" s="9"/>
    </row>
    <row r="17" spans="1:46" x14ac:dyDescent="0.2">
      <c r="AT17" s="9"/>
    </row>
    <row r="18" spans="1:46" x14ac:dyDescent="0.2">
      <c r="AT18" s="9"/>
    </row>
    <row r="19" spans="1:46" x14ac:dyDescent="0.2">
      <c r="AT19" s="9"/>
    </row>
    <row r="20" spans="1:46" x14ac:dyDescent="0.2">
      <c r="AT20" s="9"/>
    </row>
    <row r="21" spans="1:46" x14ac:dyDescent="0.2">
      <c r="AT21" s="9"/>
    </row>
    <row r="22" spans="1:46" x14ac:dyDescent="0.2">
      <c r="AT22" s="9"/>
    </row>
    <row r="23" spans="1:46" x14ac:dyDescent="0.2">
      <c r="AT23" s="9"/>
    </row>
    <row r="24" spans="1:46" x14ac:dyDescent="0.2">
      <c r="AT24" s="9"/>
    </row>
    <row r="25" spans="1:46" ht="12" customHeight="1" x14ac:dyDescent="0.2">
      <c r="AT25" s="9"/>
    </row>
    <row r="26" spans="1:46" x14ac:dyDescent="0.2">
      <c r="AT26" s="9"/>
    </row>
    <row r="27" spans="1:46" x14ac:dyDescent="0.2">
      <c r="AT27" s="9"/>
    </row>
    <row r="28" spans="1:46" x14ac:dyDescent="0.2">
      <c r="A28" s="11"/>
      <c r="B28" s="11"/>
      <c r="C28" s="11"/>
      <c r="D28" s="11"/>
      <c r="E28" s="11"/>
    </row>
    <row r="29" spans="1:46" x14ac:dyDescent="0.2">
      <c r="A29" s="11"/>
      <c r="B29" s="11"/>
      <c r="C29" s="11"/>
      <c r="D29" s="11"/>
      <c r="E29" s="11"/>
    </row>
    <row r="30" spans="1:46" ht="14.25" customHeight="1" x14ac:dyDescent="0.2">
      <c r="A30" s="12"/>
    </row>
    <row r="31" spans="1:46" x14ac:dyDescent="0.2">
      <c r="A31" s="12"/>
    </row>
    <row r="32" spans="1:46" x14ac:dyDescent="0.2">
      <c r="A32" s="12"/>
    </row>
    <row r="33" spans="1:46" x14ac:dyDescent="0.2">
      <c r="A33" s="12"/>
    </row>
    <row r="34" spans="1:46" x14ac:dyDescent="0.2">
      <c r="A34" s="12"/>
    </row>
    <row r="35" spans="1:46" x14ac:dyDescent="0.2">
      <c r="A35" s="12"/>
    </row>
    <row r="36" spans="1:46" x14ac:dyDescent="0.2">
      <c r="A36" s="12"/>
    </row>
    <row r="37" spans="1:46" x14ac:dyDescent="0.2">
      <c r="A37" s="12"/>
    </row>
    <row r="38" spans="1:46" x14ac:dyDescent="0.2">
      <c r="A38" s="12"/>
    </row>
    <row r="39" spans="1:46" ht="12" customHeight="1" x14ac:dyDescent="0.2">
      <c r="A39" s="12"/>
    </row>
    <row r="40" spans="1:46" x14ac:dyDescent="0.2">
      <c r="A40" s="12"/>
    </row>
    <row r="41" spans="1:46" x14ac:dyDescent="0.2">
      <c r="A41" s="11"/>
      <c r="AT41" s="9"/>
    </row>
    <row r="42" spans="1:46" x14ac:dyDescent="0.2">
      <c r="A42" s="11"/>
      <c r="AT42" s="9"/>
    </row>
    <row r="43" spans="1:46" x14ac:dyDescent="0.2">
      <c r="A43" s="11"/>
      <c r="AT43" s="9"/>
    </row>
    <row r="44" spans="1:46" x14ac:dyDescent="0.2">
      <c r="AT44" s="9"/>
    </row>
    <row r="45" spans="1:46" x14ac:dyDescent="0.2">
      <c r="AT45" s="9"/>
    </row>
    <row r="46" spans="1:46" x14ac:dyDescent="0.2">
      <c r="AT46" s="9"/>
    </row>
    <row r="47" spans="1:46" x14ac:dyDescent="0.2">
      <c r="AT47" s="9"/>
    </row>
    <row r="48" spans="1:46" x14ac:dyDescent="0.2">
      <c r="AT48" s="9"/>
    </row>
    <row r="49" spans="8:46" x14ac:dyDescent="0.2">
      <c r="AT49" s="9"/>
    </row>
    <row r="50" spans="8:46" x14ac:dyDescent="0.2">
      <c r="AT50" s="9"/>
    </row>
    <row r="51" spans="8:46" x14ac:dyDescent="0.2">
      <c r="AT51" s="9"/>
    </row>
    <row r="52" spans="8:46" x14ac:dyDescent="0.2">
      <c r="AT52" s="9"/>
    </row>
    <row r="53" spans="8:46" x14ac:dyDescent="0.2">
      <c r="AT53" s="9"/>
    </row>
    <row r="54" spans="8:46" x14ac:dyDescent="0.2">
      <c r="AT54" s="9"/>
    </row>
    <row r="56" spans="8:46" x14ac:dyDescent="0.2"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</row>
  </sheetData>
  <mergeCells count="10">
    <mergeCell ref="B1:F1"/>
    <mergeCell ref="F9:F10"/>
    <mergeCell ref="B3:D4"/>
    <mergeCell ref="E3:E4"/>
    <mergeCell ref="F3:F4"/>
    <mergeCell ref="B6:D7"/>
    <mergeCell ref="E6:E7"/>
    <mergeCell ref="F6:F7"/>
    <mergeCell ref="B9:D10"/>
    <mergeCell ref="E9:E10"/>
  </mergeCells>
  <pageMargins left="0.39370078740157483" right="0.39370078740157483" top="1.1811023622047245" bottom="0.78740157480314965" header="0.39370078740157483" footer="0.39370078740157483"/>
  <pageSetup paperSize="8" orientation="landscape" r:id="rId1"/>
  <headerFooter scaleWithDoc="0">
    <oddHeader xml:space="preserve">&amp;L&amp;G&amp;R&amp;D
Created by: 
Checked by: </oddHeader>
    <oddFooter>&amp;L&amp;6
COPYRIGHT © 1976-2020 BURO HAPPOLD. ALL RIGHTS RESERVED&amp;RPage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RefreshPivotTables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6E58-CA35-479B-B637-A6E0682FF96D}">
  <sheetPr codeName="Sheet3">
    <tabColor theme="6" tint="0.39997558519241921"/>
  </sheetPr>
  <dimension ref="A1:E1"/>
  <sheetViews>
    <sheetView workbookViewId="0"/>
  </sheetViews>
  <sheetFormatPr defaultRowHeight="14.25" x14ac:dyDescent="0.25"/>
  <cols>
    <col min="1" max="2" width="13.28515625" bestFit="1" customWidth="1"/>
    <col min="3" max="3" width="12" style="1" bestFit="1" customWidth="1"/>
    <col min="4" max="4" width="12.28515625" style="1" bestFit="1" customWidth="1"/>
    <col min="5" max="5" width="14.140625" bestFit="1" customWidth="1"/>
  </cols>
  <sheetData>
    <row r="1" spans="1:5" ht="15" thickBot="1" x14ac:dyDescent="0.3">
      <c r="A1" s="16" t="s">
        <v>13</v>
      </c>
      <c r="B1" s="17" t="s">
        <v>14</v>
      </c>
      <c r="C1" s="18" t="s">
        <v>15</v>
      </c>
      <c r="D1" s="18" t="s">
        <v>16</v>
      </c>
      <c r="E1" s="19" t="s">
        <v>36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C48B5-100A-435B-A616-431303BB937E}">
  <sheetPr codeName="Sheet4">
    <tabColor theme="6" tint="0.39997558519241921"/>
  </sheetPr>
  <dimension ref="A1:R13"/>
  <sheetViews>
    <sheetView zoomScaleNormal="100" workbookViewId="0">
      <pane ySplit="42" topLeftCell="A43" activePane="bottomLeft" state="frozen"/>
      <selection pane="bottomLeft" activeCell="A2" sqref="A2"/>
    </sheetView>
  </sheetViews>
  <sheetFormatPr defaultRowHeight="14.25" x14ac:dyDescent="0.25"/>
  <cols>
    <col min="1" max="7" width="16.42578125" style="1" customWidth="1"/>
    <col min="8" max="8" width="12" style="1" bestFit="1" customWidth="1"/>
    <col min="9" max="9" width="18.85546875" style="1" bestFit="1" customWidth="1"/>
    <col min="10" max="10" width="5.7109375" customWidth="1"/>
    <col min="11" max="12" width="16.7109375" style="1" bestFit="1" customWidth="1"/>
    <col min="13" max="13" width="15.7109375" style="1" bestFit="1" customWidth="1"/>
    <col min="14" max="14" width="5.7109375" customWidth="1"/>
    <col min="15" max="15" width="18.140625" bestFit="1" customWidth="1"/>
    <col min="16" max="16" width="16.7109375" bestFit="1" customWidth="1"/>
    <col min="17" max="17" width="5.7109375" customWidth="1"/>
    <col min="18" max="18" width="15.7109375" bestFit="1" customWidth="1"/>
    <col min="19" max="19" width="16.7109375" bestFit="1" customWidth="1"/>
    <col min="20" max="20" width="11.42578125" bestFit="1" customWidth="1"/>
    <col min="21" max="21" width="16.7109375" bestFit="1" customWidth="1"/>
    <col min="22" max="23" width="15.7109375" bestFit="1" customWidth="1"/>
    <col min="24" max="26" width="16.7109375" bestFit="1" customWidth="1"/>
    <col min="27" max="27" width="15.7109375" bestFit="1" customWidth="1"/>
    <col min="28" max="32" width="14.140625" bestFit="1" customWidth="1"/>
    <col min="33" max="33" width="10.85546875" bestFit="1" customWidth="1"/>
    <col min="34" max="34" width="16.7109375" bestFit="1" customWidth="1"/>
    <col min="35" max="39" width="14.140625" bestFit="1" customWidth="1"/>
    <col min="40" max="42" width="15.140625" bestFit="1" customWidth="1"/>
    <col min="43" max="44" width="14.140625" bestFit="1" customWidth="1"/>
    <col min="45" max="45" width="10.85546875" bestFit="1" customWidth="1"/>
    <col min="46" max="47" width="16.85546875" bestFit="1" customWidth="1"/>
    <col min="48" max="48" width="11.85546875" bestFit="1" customWidth="1"/>
    <col min="49" max="56" width="14.140625" bestFit="1" customWidth="1"/>
    <col min="57" max="62" width="15.140625" bestFit="1" customWidth="1"/>
    <col min="63" max="63" width="14.140625" bestFit="1" customWidth="1"/>
    <col min="64" max="64" width="10.85546875" bestFit="1" customWidth="1"/>
    <col min="65" max="71" width="14.140625" bestFit="1" customWidth="1"/>
    <col min="72" max="76" width="15.140625" bestFit="1" customWidth="1"/>
    <col min="77" max="83" width="14.140625" bestFit="1" customWidth="1"/>
    <col min="84" max="84" width="11.85546875" bestFit="1" customWidth="1"/>
    <col min="85" max="85" width="16.85546875" bestFit="1" customWidth="1"/>
    <col min="86" max="96" width="14.140625" bestFit="1" customWidth="1"/>
    <col min="97" max="99" width="15.140625" bestFit="1" customWidth="1"/>
    <col min="100" max="101" width="14.140625" bestFit="1" customWidth="1"/>
    <col min="102" max="115" width="15.140625" bestFit="1" customWidth="1"/>
    <col min="116" max="116" width="8.7109375" bestFit="1" customWidth="1"/>
    <col min="117" max="117" width="7.28515625" bestFit="1" customWidth="1"/>
    <col min="118" max="118" width="11.42578125" bestFit="1" customWidth="1"/>
    <col min="119" max="223" width="22.85546875" bestFit="1" customWidth="1"/>
    <col min="224" max="224" width="25.5703125" bestFit="1" customWidth="1"/>
    <col min="225" max="225" width="28.140625" bestFit="1" customWidth="1"/>
  </cols>
  <sheetData>
    <row r="1" spans="1:18" s="3" customFormat="1" x14ac:dyDescent="0.25">
      <c r="A1" s="6" t="str" cm="1">
        <f t="array" ref="A1">_xlfn._xlws.FILTER(Inputs!A:A,ISBLANK(Inputs!A:A)=FALSE)</f>
        <v>Section Family</v>
      </c>
      <c r="B1" s="6" t="str" cm="1">
        <f t="array" ref="B1">_xlfn._xlws.FILTER(Inputs!B:B,ISBLANK(Inputs!B:B)=FALSE)</f>
        <v>Section Name</v>
      </c>
      <c r="C1" s="6" t="str" cm="1">
        <f t="array" ref="C1">_xlfn._xlws.FILTER(Inputs!C:C,ISBLANK(Inputs!C:C)=FALSE)</f>
        <v>Section Area</v>
      </c>
      <c r="D1" s="6" t="str" cm="1">
        <f t="array" ref="D1">_xlfn._xlws.FILTER(Inputs!D:D,ISBLANK(Inputs!D:D)=FALSE)</f>
        <v>Total Length</v>
      </c>
      <c r="E1" s="6" t="str" cm="1">
        <f t="array" ref="E1">IFERROR(IF(_xlfn.ANCHORARRAY(D1)-2*'Steel Reuse Dashboard'!$E$3&lt;0,0,_xlfn.ANCHORARRAY(D1)-2*'Steel Reuse Dashboard'!$E$3),"Including Cutoff")</f>
        <v>Including Cutoff</v>
      </c>
      <c r="F1" s="6" t="str" cm="1">
        <f t="array" ref="F1">IFERROR(_xlfn.FLOOR.MATH(_xlfn.ANCHORARRAY(E1),'Steel Reuse Dashboard'!$E$6),"Rounded Length")</f>
        <v>Rounded Length</v>
      </c>
      <c r="G1" s="6" t="str" cm="1">
        <f t="array" ref="G1">IFERROR(_xlfn.ANCHORARRAY(F1)*_xlfn.ANCHORARRAY(C1),"Total Volume")</f>
        <v>Total Volume</v>
      </c>
      <c r="H1" s="6" t="str" cm="1">
        <f t="array" ref="H1">INDEX(_xlfn.ANCHORARRAY(M1),MATCH(_xlfn.ANCHORARRAY(B1),_xlfn.ANCHORARRAY(K1),0))</f>
        <v>Plot</v>
      </c>
      <c r="I1" s="6" t="str" cm="1">
        <f t="array" ref="I1">_xlfn._xlws.FILTER(Inputs!E:E,ISBLANK(Inputs!E:E)=FALSE)</f>
        <v>Reuse Strategy</v>
      </c>
      <c r="K1" s="6" t="str" cm="1">
        <f t="array" ref="K1:K2">_xlfn.UNIQUE(Inputs!B:B)</f>
        <v>Section Name</v>
      </c>
      <c r="L1" s="6" t="str" cm="1">
        <f t="array" ref="L1:L2">IF(ROW(_xlfn.ANCHORARRAY(K1))=1,"Count",COUNTIF(B:B,_xlfn.ANCHORARRAY(K1)))</f>
        <v>Count</v>
      </c>
      <c r="M1" s="6" t="str" cm="1">
        <f t="array" ref="M1:M2">IF(ROW(_xlfn.ANCHORARRAY(K1))=1,"Plot",IF(_xlfn.ANCHORARRAY(L1)&lt;='Steel Reuse Dashboard'!$E$9,"NO","YES"))</f>
        <v>Plot</v>
      </c>
      <c r="O1" s="24" t="s">
        <v>17</v>
      </c>
      <c r="P1" s="24"/>
    </row>
    <row r="2" spans="1:18" x14ac:dyDescent="0.25">
      <c r="K2" s="1">
        <v>0</v>
      </c>
      <c r="L2" s="1">
        <v>0</v>
      </c>
      <c r="M2" s="1" t="str">
        <v>NO</v>
      </c>
      <c r="O2" s="1" t="s">
        <v>18</v>
      </c>
      <c r="P2" s="5">
        <f>SUMIF(_xlfn.ANCHORARRAY($H$1),"YES",_xlfn.ANCHORARRAY($G$1))</f>
        <v>0</v>
      </c>
    </row>
    <row r="3" spans="1:18" x14ac:dyDescent="0.25">
      <c r="O3" s="1" t="s">
        <v>19</v>
      </c>
      <c r="P3" s="5">
        <f>SUMIF(_xlfn.ANCHORARRAY($H$1),"NO",_xlfn.ANCHORARRAY($G$1))</f>
        <v>0</v>
      </c>
    </row>
    <row r="5" spans="1:18" x14ac:dyDescent="0.25">
      <c r="O5" s="24" t="s">
        <v>20</v>
      </c>
      <c r="P5" s="24"/>
      <c r="Q5" s="3"/>
      <c r="R5" s="13" t="s">
        <v>21</v>
      </c>
    </row>
    <row r="6" spans="1:18" x14ac:dyDescent="0.25">
      <c r="O6" s="1" t="s">
        <v>22</v>
      </c>
      <c r="P6" s="5">
        <f>P8-P7</f>
        <v>0</v>
      </c>
      <c r="R6" s="1" t="s">
        <v>23</v>
      </c>
    </row>
    <row r="7" spans="1:18" x14ac:dyDescent="0.25">
      <c r="O7" s="1" t="s">
        <v>24</v>
      </c>
      <c r="P7" s="5">
        <f>SUMIF(_xlfn.ANCHORARRAY($A$1),"NA",_xlfn.ANCHORARRAY($D$1))</f>
        <v>0</v>
      </c>
      <c r="R7" s="2"/>
    </row>
    <row r="8" spans="1:18" x14ac:dyDescent="0.25">
      <c r="O8" s="1" t="s">
        <v>25</v>
      </c>
      <c r="P8" s="5">
        <f>SUM(_xlfn.ANCHORARRAY(D1))</f>
        <v>0</v>
      </c>
    </row>
    <row r="10" spans="1:18" x14ac:dyDescent="0.25">
      <c r="O10" s="24" t="s">
        <v>26</v>
      </c>
      <c r="P10" s="24"/>
    </row>
    <row r="11" spans="1:18" x14ac:dyDescent="0.25">
      <c r="O11" s="1" t="s">
        <v>27</v>
      </c>
      <c r="P11" s="5">
        <f>SUMIF(I:I,"YES",G:G)</f>
        <v>0</v>
      </c>
    </row>
    <row r="12" spans="1:18" x14ac:dyDescent="0.25">
      <c r="O12" s="1" t="s">
        <v>28</v>
      </c>
      <c r="P12" s="5">
        <f>P13-P11</f>
        <v>0</v>
      </c>
    </row>
    <row r="13" spans="1:18" x14ac:dyDescent="0.25">
      <c r="O13" s="1" t="s">
        <v>29</v>
      </c>
      <c r="P13" s="5">
        <f>SUM(G:G)-SUMIF(A:A,"NA",G:G)</f>
        <v>0</v>
      </c>
    </row>
  </sheetData>
  <autoFilter ref="A1:I4106" xr:uid="{5A8C48B5-100A-435B-A616-431303BB937E}"/>
  <mergeCells count="3">
    <mergeCell ref="O1:P1"/>
    <mergeCell ref="O5:P5"/>
    <mergeCell ref="O10:P10"/>
  </mergeCells>
  <conditionalFormatting sqref="A1:XFD1048576">
    <cfRule type="notContainsBlanks" dxfId="2" priority="3">
      <formula>LEN(TRIM(A1))&gt;0</formula>
    </cfRule>
  </conditionalFormatting>
  <conditionalFormatting sqref="I1:I1048576">
    <cfRule type="containsText" dxfId="1" priority="1" operator="containsText" text="YES">
      <formula>NOT(ISERROR(SEARCH("YES",I1)))</formula>
    </cfRule>
    <cfRule type="expression" dxfId="0" priority="2">
      <formula>ISBLANK($H1)=FALSE</formula>
    </cfRule>
  </conditionalFormatting>
  <dataValidations count="1">
    <dataValidation type="list" allowBlank="1" showInputMessage="1" showErrorMessage="1" sqref="I2:I1048576" xr:uid="{903F6813-B167-4E56-96D1-FDFC44CF7F97}">
      <formula1>$R$6:$R$7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8CD71-EF23-4090-9E53-6E76305B0269}">
  <sheetPr codeName="Sheet5"/>
  <dimension ref="A1:C7"/>
  <sheetViews>
    <sheetView workbookViewId="0">
      <selection activeCell="B5" sqref="B5"/>
    </sheetView>
  </sheetViews>
  <sheetFormatPr defaultRowHeight="14.25" x14ac:dyDescent="0.25"/>
  <cols>
    <col min="1" max="1" width="20.140625" bestFit="1" customWidth="1"/>
    <col min="2" max="2" width="16.42578125" bestFit="1" customWidth="1"/>
    <col min="3" max="3" width="11.42578125" bestFit="1" customWidth="1"/>
    <col min="4" max="4" width="14.140625" bestFit="1" customWidth="1"/>
    <col min="5" max="9" width="15.140625" bestFit="1" customWidth="1"/>
    <col min="10" max="10" width="14.140625" bestFit="1" customWidth="1"/>
    <col min="11" max="11" width="15.140625" bestFit="1" customWidth="1"/>
    <col min="12" max="13" width="14.140625" bestFit="1" customWidth="1"/>
    <col min="14" max="15" width="15.140625" bestFit="1" customWidth="1"/>
    <col min="16" max="16" width="14.140625" bestFit="1" customWidth="1"/>
    <col min="17" max="17" width="15.140625" bestFit="1" customWidth="1"/>
    <col min="18" max="21" width="14.140625" bestFit="1" customWidth="1"/>
    <col min="22" max="22" width="11.42578125" bestFit="1" customWidth="1"/>
    <col min="23" max="23" width="16.7109375" bestFit="1" customWidth="1"/>
    <col min="24" max="24" width="11.5703125" bestFit="1" customWidth="1"/>
    <col min="25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3" x14ac:dyDescent="0.25">
      <c r="A1" s="7" t="s">
        <v>13</v>
      </c>
      <c r="B1" t="s">
        <v>40</v>
      </c>
    </row>
    <row r="2" spans="1:3" x14ac:dyDescent="0.25">
      <c r="A2" s="7" t="s">
        <v>30</v>
      </c>
      <c r="B2" t="s">
        <v>40</v>
      </c>
    </row>
    <row r="4" spans="1:3" x14ac:dyDescent="0.25">
      <c r="A4" s="7" t="s">
        <v>31</v>
      </c>
      <c r="B4" s="7" t="s">
        <v>32</v>
      </c>
    </row>
    <row r="5" spans="1:3" x14ac:dyDescent="0.25">
      <c r="A5" s="7" t="s">
        <v>33</v>
      </c>
      <c r="B5" t="s">
        <v>40</v>
      </c>
      <c r="C5" t="s">
        <v>34</v>
      </c>
    </row>
    <row r="6" spans="1:3" x14ac:dyDescent="0.25">
      <c r="A6" s="8" t="s">
        <v>40</v>
      </c>
      <c r="B6" s="15"/>
      <c r="C6" s="15"/>
    </row>
    <row r="7" spans="1:3" x14ac:dyDescent="0.25">
      <c r="A7" s="8" t="s">
        <v>34</v>
      </c>
      <c r="B7" s="15"/>
      <c r="C7" s="15"/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1474B-A7B2-496E-A34D-5D825D58620E}">
  <sheetPr codeName="Sheet6"/>
  <dimension ref="A1:C7"/>
  <sheetViews>
    <sheetView workbookViewId="0">
      <selection activeCell="E42" sqref="E42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4" width="11.42578125" bestFit="1" customWidth="1"/>
    <col min="5" max="5" width="15.7109375" bestFit="1" customWidth="1"/>
    <col min="6" max="8" width="16.7109375" bestFit="1" customWidth="1"/>
    <col min="9" max="9" width="15.7109375" bestFit="1" customWidth="1"/>
    <col min="10" max="10" width="16.7109375" bestFit="1" customWidth="1"/>
    <col min="11" max="11" width="11.42578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3" x14ac:dyDescent="0.25">
      <c r="A1" s="7" t="s">
        <v>13</v>
      </c>
      <c r="B1" t="s">
        <v>40</v>
      </c>
    </row>
    <row r="2" spans="1:3" x14ac:dyDescent="0.25">
      <c r="A2" s="7" t="s">
        <v>30</v>
      </c>
      <c r="B2" t="s">
        <v>40</v>
      </c>
    </row>
    <row r="4" spans="1:3" x14ac:dyDescent="0.25">
      <c r="A4" s="7" t="s">
        <v>31</v>
      </c>
      <c r="B4" s="7" t="s">
        <v>32</v>
      </c>
    </row>
    <row r="5" spans="1:3" x14ac:dyDescent="0.25">
      <c r="A5" s="7" t="s">
        <v>33</v>
      </c>
      <c r="B5" t="s">
        <v>40</v>
      </c>
      <c r="C5" t="s">
        <v>34</v>
      </c>
    </row>
    <row r="6" spans="1:3" x14ac:dyDescent="0.25">
      <c r="A6" s="8" t="s">
        <v>40</v>
      </c>
      <c r="B6" s="15"/>
      <c r="C6" s="15"/>
    </row>
    <row r="7" spans="1:3" x14ac:dyDescent="0.25">
      <c r="A7" s="8" t="s">
        <v>34</v>
      </c>
      <c r="B7" s="15"/>
      <c r="C7" s="15"/>
    </row>
  </sheetData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D91A7-AFCA-431E-8583-DA5014784FDB}">
  <sheetPr codeName="Sheet7"/>
  <dimension ref="A1:B6"/>
  <sheetViews>
    <sheetView workbookViewId="0">
      <selection activeCell="F35" sqref="F35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5" width="16.7109375" bestFit="1" customWidth="1"/>
    <col min="6" max="6" width="15.7109375" bestFit="1" customWidth="1"/>
    <col min="7" max="8" width="16.7109375" bestFit="1" customWidth="1"/>
    <col min="9" max="9" width="11.42578125" bestFit="1" customWidth="1"/>
    <col min="10" max="10" width="18" bestFit="1" customWidth="1"/>
    <col min="11" max="11" width="11.5703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2" x14ac:dyDescent="0.25">
      <c r="A1" s="7" t="s">
        <v>13</v>
      </c>
      <c r="B1" t="s">
        <v>35</v>
      </c>
    </row>
    <row r="2" spans="1:2" x14ac:dyDescent="0.25">
      <c r="A2" s="7" t="s">
        <v>30</v>
      </c>
      <c r="B2" t="s">
        <v>40</v>
      </c>
    </row>
    <row r="4" spans="1:2" x14ac:dyDescent="0.25">
      <c r="A4" s="7" t="s">
        <v>31</v>
      </c>
      <c r="B4" s="7" t="s">
        <v>32</v>
      </c>
    </row>
    <row r="5" spans="1:2" x14ac:dyDescent="0.25">
      <c r="A5" s="7" t="s">
        <v>33</v>
      </c>
      <c r="B5" t="s">
        <v>34</v>
      </c>
    </row>
    <row r="6" spans="1:2" x14ac:dyDescent="0.25">
      <c r="A6" s="8" t="s">
        <v>34</v>
      </c>
      <c r="B6" s="15"/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0237B-CA1F-46FA-B963-4C5743F7C178}">
  <sheetPr codeName="Sheet8"/>
  <dimension ref="A1:C7"/>
  <sheetViews>
    <sheetView workbookViewId="0">
      <selection activeCell="F13" sqref="F13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3" width="11.42578125" bestFit="1" customWidth="1"/>
    <col min="4" max="4" width="15.140625" bestFit="1" customWidth="1"/>
    <col min="5" max="7" width="18" bestFit="1" customWidth="1"/>
    <col min="8" max="8" width="16.7109375" bestFit="1" customWidth="1"/>
    <col min="9" max="10" width="18" bestFit="1" customWidth="1"/>
    <col min="11" max="11" width="11.5703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3" x14ac:dyDescent="0.25">
      <c r="A1" s="7" t="s">
        <v>13</v>
      </c>
      <c r="B1" t="s">
        <v>40</v>
      </c>
    </row>
    <row r="2" spans="1:3" x14ac:dyDescent="0.25">
      <c r="A2" s="7" t="s">
        <v>30</v>
      </c>
      <c r="B2" t="s">
        <v>40</v>
      </c>
    </row>
    <row r="4" spans="1:3" x14ac:dyDescent="0.25">
      <c r="A4" s="7" t="s">
        <v>31</v>
      </c>
      <c r="B4" s="7" t="s">
        <v>32</v>
      </c>
    </row>
    <row r="5" spans="1:3" x14ac:dyDescent="0.25">
      <c r="A5" s="7" t="s">
        <v>33</v>
      </c>
      <c r="B5" t="s">
        <v>40</v>
      </c>
      <c r="C5" t="s">
        <v>34</v>
      </c>
    </row>
    <row r="6" spans="1:3" x14ac:dyDescent="0.25">
      <c r="A6" s="8" t="s">
        <v>40</v>
      </c>
      <c r="B6" s="15"/>
      <c r="C6" s="15"/>
    </row>
    <row r="7" spans="1:3" x14ac:dyDescent="0.25">
      <c r="A7" s="8" t="s">
        <v>34</v>
      </c>
      <c r="B7" s="15"/>
      <c r="C7" s="15"/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5856F-2CB0-4A6A-AE57-68F651AD8AFE}">
  <sheetPr codeName="Sheet9"/>
  <dimension ref="A1:B6"/>
  <sheetViews>
    <sheetView workbookViewId="0">
      <selection activeCell="F22" sqref="F22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3" width="11.85546875" bestFit="1" customWidth="1"/>
    <col min="4" max="7" width="10.85546875" bestFit="1" customWidth="1"/>
    <col min="8" max="8" width="11.42578125" bestFit="1" customWidth="1"/>
    <col min="9" max="9" width="18" bestFit="1" customWidth="1"/>
    <col min="10" max="10" width="16.7109375" bestFit="1" customWidth="1"/>
    <col min="11" max="11" width="18" bestFit="1" customWidth="1"/>
    <col min="12" max="12" width="11.57031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2" x14ac:dyDescent="0.25">
      <c r="A1" s="7" t="s">
        <v>13</v>
      </c>
      <c r="B1" t="s">
        <v>35</v>
      </c>
    </row>
    <row r="2" spans="1:2" x14ac:dyDescent="0.25">
      <c r="A2" s="7" t="s">
        <v>30</v>
      </c>
      <c r="B2" t="s">
        <v>40</v>
      </c>
    </row>
    <row r="4" spans="1:2" x14ac:dyDescent="0.25">
      <c r="A4" s="7" t="s">
        <v>31</v>
      </c>
      <c r="B4" s="7" t="s">
        <v>32</v>
      </c>
    </row>
    <row r="5" spans="1:2" x14ac:dyDescent="0.25">
      <c r="A5" s="7" t="s">
        <v>33</v>
      </c>
      <c r="B5" t="s">
        <v>34</v>
      </c>
    </row>
    <row r="6" spans="1:2" x14ac:dyDescent="0.25">
      <c r="A6" s="8" t="s">
        <v>34</v>
      </c>
      <c r="B6" s="15"/>
    </row>
  </sheetData>
  <pageMargins left="0.7" right="0.7" top="0.75" bottom="0.75" header="0.3" footer="0.3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57DC1-ECDE-428F-8EFC-2C7373EB67A6}">
  <sheetPr codeName="Sheet11"/>
  <dimension ref="A1:C7"/>
  <sheetViews>
    <sheetView workbookViewId="0">
      <selection activeCell="D42" sqref="D42:D43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3" width="11.42578125" bestFit="1" customWidth="1"/>
    <col min="4" max="13" width="14.140625" bestFit="1" customWidth="1"/>
    <col min="14" max="14" width="15.140625" bestFit="1" customWidth="1"/>
    <col min="15" max="17" width="14.140625" bestFit="1" customWidth="1"/>
    <col min="18" max="21" width="15.140625" bestFit="1" customWidth="1"/>
    <col min="22" max="37" width="14.140625" bestFit="1" customWidth="1"/>
    <col min="38" max="38" width="15.140625" bestFit="1" customWidth="1"/>
    <col min="39" max="41" width="14.140625" bestFit="1" customWidth="1"/>
    <col min="42" max="42" width="15.140625" bestFit="1" customWidth="1"/>
    <col min="43" max="44" width="14.140625" bestFit="1" customWidth="1"/>
    <col min="45" max="45" width="11.42578125" bestFit="1" customWidth="1"/>
    <col min="46" max="58" width="15.140625" bestFit="1" customWidth="1"/>
    <col min="59" max="59" width="11.42578125" bestFit="1" customWidth="1"/>
    <col min="60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3" x14ac:dyDescent="0.25">
      <c r="A1" s="7" t="s">
        <v>13</v>
      </c>
      <c r="B1" t="s">
        <v>40</v>
      </c>
    </row>
    <row r="2" spans="1:3" x14ac:dyDescent="0.25">
      <c r="A2" s="7" t="s">
        <v>30</v>
      </c>
      <c r="B2" t="s">
        <v>40</v>
      </c>
    </row>
    <row r="4" spans="1:3" x14ac:dyDescent="0.25">
      <c r="A4" s="7" t="s">
        <v>31</v>
      </c>
      <c r="B4" s="7" t="s">
        <v>32</v>
      </c>
    </row>
    <row r="5" spans="1:3" x14ac:dyDescent="0.25">
      <c r="A5" s="7" t="s">
        <v>33</v>
      </c>
      <c r="B5" t="s">
        <v>40</v>
      </c>
      <c r="C5" t="s">
        <v>34</v>
      </c>
    </row>
    <row r="6" spans="1:3" x14ac:dyDescent="0.25">
      <c r="A6" s="8" t="s">
        <v>40</v>
      </c>
      <c r="B6" s="15"/>
      <c r="C6" s="15"/>
    </row>
    <row r="7" spans="1:3" x14ac:dyDescent="0.25">
      <c r="A7" s="8" t="s">
        <v>34</v>
      </c>
      <c r="B7" s="15"/>
      <c r="C7" s="15"/>
    </row>
  </sheetData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302df7f-88d7-4de7-95a7-124321c940f0">
      <Terms xmlns="http://schemas.microsoft.com/office/infopath/2007/PartnerControls"/>
    </lcf76f155ced4ddcb4097134ff3c332f>
    <TaxCatchAll xmlns="8f7a92c5-f891-48be-92b1-40f67a03cf11" xsi:nil="true"/>
    <LikesCount xmlns="http://schemas.microsoft.com/sharepoint/v3" xsi:nil="true"/>
    <Idea_x0020_Category xmlns="1302df7f-88d7-4de7-95a7-124321c940f0" xsi:nil="true"/>
    <Status xmlns="1302df7f-88d7-4de7-95a7-124321c940f0">In Planning</Status>
    <CompletedLocation xmlns="1302df7f-88d7-4de7-95a7-124321c940f0" xsi:nil="true"/>
    <Review_x0020_Comments xmlns="1302df7f-88d7-4de7-95a7-124321c940f0" xsi:nil="true"/>
    <Ratings xmlns="http://schemas.microsoft.com/sharepoint/v3" xsi:nil="true"/>
    <Reviewer xmlns="1302df7f-88d7-4de7-95a7-124321c940f0">
      <UserInfo>
        <DisplayName/>
        <AccountId xsi:nil="true"/>
        <AccountType/>
      </UserInfo>
    </Reviewer>
    <People xmlns="1302df7f-88d7-4de7-95a7-124321c940f0">
      <UserInfo>
        <DisplayName/>
        <AccountId xsi:nil="true"/>
        <AccountType/>
      </UserInfo>
    </People>
    <Funding_x0020_Source xmlns="1302df7f-88d7-4de7-95a7-124321c940f0">Project</Funding_x0020_Source>
    <Output xmlns="1302df7f-88d7-4de7-95a7-124321c940f0" xsi:nil="true"/>
    <d05f63ba40984deab913011dba1cabd4 xmlns="1302df7f-88d7-4de7-95a7-124321c940f0">
      <Terms xmlns="http://schemas.microsoft.com/office/infopath/2007/PartnerControls"/>
    </d05f63ba40984deab913011dba1cabd4>
    <LikedBy xmlns="http://schemas.microsoft.com/sharepoint/v3">
      <UserInfo>
        <DisplayName/>
        <AccountId xsi:nil="true"/>
        <AccountType/>
      </UserInfo>
    </LikedBy>
    <bcad1085fac14b0d9956f4d9e66a8447 xmlns="1302df7f-88d7-4de7-95a7-124321c940f0">
      <Terms xmlns="http://schemas.microsoft.com/office/infopath/2007/PartnerControls"/>
    </bcad1085fac14b0d9956f4d9e66a8447>
    <Date xmlns="1302df7f-88d7-4de7-95a7-124321c940f0" xsi:nil="true"/>
    <Description0 xmlns="1302df7f-88d7-4de7-95a7-124321c940f0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67435D7FBBBA47ADFC347CB144427F" ma:contentTypeVersion="42" ma:contentTypeDescription="Create a new document." ma:contentTypeScope="" ma:versionID="69bd03f5d035db187445a4a902042f32">
  <xsd:schema xmlns:xsd="http://www.w3.org/2001/XMLSchema" xmlns:xs="http://www.w3.org/2001/XMLSchema" xmlns:p="http://schemas.microsoft.com/office/2006/metadata/properties" xmlns:ns1="http://schemas.microsoft.com/sharepoint/v3" xmlns:ns2="1302df7f-88d7-4de7-95a7-124321c940f0" xmlns:ns3="8f7a92c5-f891-48be-92b1-40f67a03cf11" xmlns:ns4="7d1875c7-ea51-4db7-9f6e-d358eeae476c" targetNamespace="http://schemas.microsoft.com/office/2006/metadata/properties" ma:root="true" ma:fieldsID="1c7bc0b49c1054cad679821ded118ff4" ns1:_="" ns2:_="" ns3:_="" ns4:_="">
    <xsd:import namespace="http://schemas.microsoft.com/sharepoint/v3"/>
    <xsd:import namespace="1302df7f-88d7-4de7-95a7-124321c940f0"/>
    <xsd:import namespace="8f7a92c5-f891-48be-92b1-40f67a03cf11"/>
    <xsd:import namespace="7d1875c7-ea51-4db7-9f6e-d358eeae476c"/>
    <xsd:element name="properties">
      <xsd:complexType>
        <xsd:sequence>
          <xsd:element name="documentManagement">
            <xsd:complexType>
              <xsd:all>
                <xsd:element ref="ns2:Description0" minOccurs="0"/>
                <xsd:element ref="ns2:People" minOccurs="0"/>
                <xsd:element ref="ns1:LikesCount" minOccurs="0"/>
                <xsd:element ref="ns1:AverageRating" minOccurs="0"/>
                <xsd:element ref="ns1:RatingCount" minOccurs="0"/>
                <xsd:element ref="ns2:Status" minOccurs="0"/>
                <xsd:element ref="ns2:Review_x0020_Comments" minOccurs="0"/>
                <xsd:element ref="ns2:Funding_x0020_Source" minOccurs="0"/>
                <xsd:element ref="ns2:Idea_x0020_Category" minOccurs="0"/>
                <xsd:element ref="ns2:Date" minOccurs="0"/>
                <xsd:element ref="ns2:d05f63ba40984deab913011dba1cabd4" minOccurs="0"/>
                <xsd:element ref="ns2:bcad1085fac14b0d9956f4d9e66a8447" minOccurs="0"/>
                <xsd:element ref="ns1:RatedBy" minOccurs="0"/>
                <xsd:element ref="ns1:Ratings" minOccurs="0"/>
                <xsd:element ref="ns1:LikedBy" minOccurs="0"/>
                <xsd:element ref="ns3:TaxCatchAll" minOccurs="0"/>
                <xsd:element ref="ns2:MediaServiceMetadata" minOccurs="0"/>
                <xsd:element ref="ns2:MediaServiceFastMetadata" minOccurs="0"/>
                <xsd:element ref="ns4:SharedWithUsers" minOccurs="0"/>
                <xsd:element ref="ns4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CompletedLocation" minOccurs="0"/>
                <xsd:element ref="ns2:Reviewer" minOccurs="0"/>
                <xsd:element ref="ns2:MediaLengthInSeconds" minOccurs="0"/>
                <xsd:element ref="ns2:Output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ikesCount" ma:index="5" nillable="true" ma:displayName="Number of Likes" ma:internalName="LikesCount">
      <xsd:simpleType>
        <xsd:restriction base="dms:Unknown"/>
      </xsd:simpleType>
    </xsd:element>
    <xsd:element name="AverageRating" ma:index="7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8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18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19" nillable="true" ma:displayName="User ratings" ma:description="User ratings for the item" ma:hidden="true" ma:internalName="Ratings">
      <xsd:simpleType>
        <xsd:restriction base="dms:Note"/>
      </xsd:simpleType>
    </xsd:element>
    <xsd:element name="LikedBy" ma:index="20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02df7f-88d7-4de7-95a7-124321c940f0" elementFormDefault="qualified">
    <xsd:import namespace="http://schemas.microsoft.com/office/2006/documentManagement/types"/>
    <xsd:import namespace="http://schemas.microsoft.com/office/infopath/2007/PartnerControls"/>
    <xsd:element name="Description0" ma:index="1" nillable="true" ma:displayName="Summary" ma:internalName="Description0" ma:readOnly="false">
      <xsd:simpleType>
        <xsd:restriction base="dms:Note">
          <xsd:maxLength value="255"/>
        </xsd:restriction>
      </xsd:simpleType>
    </xsd:element>
    <xsd:element name="People" ma:index="3" nillable="true" ma:displayName="People" ma:format="Dropdown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9" nillable="true" ma:displayName="Status" ma:default="In Planning" ma:description="In Planning (Active and Long Term)" ma:format="Dropdown" ma:internalName="Status">
      <xsd:simpleType>
        <xsd:restriction base="dms:Choice">
          <xsd:enumeration value="Pending Resource"/>
          <xsd:enumeration value="Parked"/>
          <xsd:enumeration value="In Planning"/>
          <xsd:enumeration value="In Development"/>
          <xsd:enumeration value="Complete"/>
          <xsd:enumeration value="Ready for Review"/>
        </xsd:restriction>
      </xsd:simpleType>
    </xsd:element>
    <xsd:element name="Review_x0020_Comments" ma:index="10" nillable="true" ma:displayName="Status Comment" ma:format="Dropdown" ma:internalName="Review_x0020_Comments">
      <xsd:simpleType>
        <xsd:restriction base="dms:Note">
          <xsd:maxLength value="255"/>
        </xsd:restriction>
      </xsd:simpleType>
    </xsd:element>
    <xsd:element name="Funding_x0020_Source" ma:index="11" nillable="true" ma:displayName="Funding Source" ma:default="Project" ma:format="Dropdown" ma:internalName="Funding_x0020_Source">
      <xsd:simpleType>
        <xsd:restriction base="dms:Choice">
          <xsd:enumeration value="Project"/>
          <xsd:enumeration value="Discipline Funding"/>
          <xsd:enumeration value="Regional Tech Funding"/>
          <xsd:enumeration value="Central Investment Funding"/>
          <xsd:enumeration value="Core Development Team"/>
        </xsd:restriction>
      </xsd:simpleType>
    </xsd:element>
    <xsd:element name="Idea_x0020_Category" ma:index="12" nillable="true" ma:displayName="Idea Category" ma:format="Dropdown" ma:internalName="Idea_x0020_Category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fficiency and Automation"/>
                    <xsd:enumeration value="Incubation"/>
                    <xsd:enumeration value="ESG"/>
                    <xsd:enumeration value="Rapid Prototyping"/>
                    <xsd:enumeration value="Analytics"/>
                    <xsd:enumeration value="Project"/>
                  </xsd:restriction>
                </xsd:simpleType>
              </xsd:element>
            </xsd:sequence>
          </xsd:extension>
        </xsd:complexContent>
      </xsd:complexType>
    </xsd:element>
    <xsd:element name="Date" ma:index="13" nillable="true" ma:displayName="Date" ma:format="DateOnly" ma:internalName="Date">
      <xsd:simpleType>
        <xsd:restriction base="dms:DateTime"/>
      </xsd:simpleType>
    </xsd:element>
    <xsd:element name="d05f63ba40984deab913011dba1cabd4" ma:index="16" nillable="true" ma:taxonomy="true" ma:internalName="d05f63ba40984deab913011dba1cabd4" ma:taxonomyFieldName="Discipline" ma:displayName="Discipline" ma:readOnly="false" ma:default="" ma:fieldId="{d05f63ba-4098-4dea-b913-011dba1cabd4}" ma:sspId="43fa978b-cdad-45a5-877c-f631a0e6dfe9" ma:termSetId="4e73e40c-4865-4834-b7af-c2c3c02849a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cad1085fac14b0d9956f4d9e66a8447" ma:index="17" nillable="true" ma:taxonomy="true" ma:internalName="bcad1085fac14b0d9956f4d9e66a8447" ma:taxonomyFieldName="Office_x0020_of_x0020_Idea_x0027_s_x0020_Origin" ma:displayName="Office" ma:readOnly="false" ma:fieldId="{bcad1085-fac1-4b0d-9956-f4d9e66a8447}" ma:sspId="43fa978b-cdad-45a5-877c-f631a0e6dfe9" ma:termSetId="b49f64b3-4722-4336-9a5c-56c326b344d4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Metadata" ma:index="2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2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27" nillable="true" ma:displayName="Tags" ma:internalName="MediaServiceAutoTags" ma:readOnly="true">
      <xsd:simpleType>
        <xsd:restriction base="dms:Text"/>
      </xsd:simpleType>
    </xsd:element>
    <xsd:element name="MediaServiceGenerationTime" ma:index="2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34" nillable="true" ma:displayName="Location" ma:internalName="MediaServiceLocation" ma:readOnly="true">
      <xsd:simpleType>
        <xsd:restriction base="dms:Text"/>
      </xsd:simpleType>
    </xsd:element>
    <xsd:element name="MediaServiceAutoKeyPoints" ma:index="3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mpletedLocation" ma:index="38" nillable="true" ma:displayName="ROI Location (Link)" ma:description="This should contain the location for the completed idea (link to the ROI library)" ma:format="Dropdown" ma:internalName="CompletedLocation">
      <xsd:simpleType>
        <xsd:restriction base="dms:Note">
          <xsd:maxLength value="255"/>
        </xsd:restriction>
      </xsd:simpleType>
    </xsd:element>
    <xsd:element name="Reviewer" ma:index="39" nillable="true" ma:displayName="Reviewer" ma:description="Person responsible for reviewing categorisation, discipline etc" ma:format="Dropdown" ma:list="UserInfo" ma:SharePointGroup="0" ma:internalName="Reviewe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40" nillable="true" ma:displayName="MediaLengthInSeconds" ma:hidden="true" ma:internalName="MediaLengthInSeconds" ma:readOnly="true">
      <xsd:simpleType>
        <xsd:restriction base="dms:Unknown"/>
      </xsd:simpleType>
    </xsd:element>
    <xsd:element name="Output" ma:index="41" nillable="true" ma:displayName="Anticipated Output" ma:format="Dropdown" ma:internalName="Output">
      <xsd:simpleType>
        <xsd:restriction base="dms:Choice">
          <xsd:enumeration value="Web UI"/>
          <xsd:enumeration value="Grasshopper Script"/>
          <xsd:enumeration value="Excel Script"/>
          <xsd:enumeration value="Other"/>
        </xsd:restriction>
      </xsd:simpleType>
    </xsd:element>
    <xsd:element name="lcf76f155ced4ddcb4097134ff3c332f" ma:index="43" nillable="true" ma:taxonomy="true" ma:internalName="lcf76f155ced4ddcb4097134ff3c332f" ma:taxonomyFieldName="MediaServiceImageTags" ma:displayName="Image Tags" ma:readOnly="false" ma:fieldId="{5cf76f15-5ced-4ddc-b409-7134ff3c332f}" ma:taxonomyMulti="true" ma:sspId="43fa978b-cdad-45a5-877c-f631a0e6dfe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4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4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7a92c5-f891-48be-92b1-40f67a03cf1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2df026f-cbf9-4856-b234-fe00ac59712e}" ma:internalName="TaxCatchAll" ma:showField="CatchAllData" ma:web="329e5992-0c58-40a3-b366-574206e8756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1875c7-ea51-4db7-9f6e-d358eeae476c" elementFormDefault="qualified">
    <xsd:import namespace="http://schemas.microsoft.com/office/2006/documentManagement/types"/>
    <xsd:import namespace="http://schemas.microsoft.com/office/infopath/2007/PartnerControls"/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30" ma:displayName="Content Type"/>
        <xsd:element ref="dc:title" minOccurs="0" maxOccurs="1" ma:index="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326545-55BA-473D-AE68-C2EA17DA393C}">
  <ds:schemaRefs>
    <ds:schemaRef ds:uri="http://schemas.microsoft.com/office/2006/metadata/properties"/>
    <ds:schemaRef ds:uri="http://schemas.microsoft.com/office/infopath/2007/PartnerControls"/>
    <ds:schemaRef ds:uri="e34d8971-24df-41b1-89c8-6e1548b07ae1"/>
    <ds:schemaRef ds:uri="65a79493-e7a8-4a30-838d-a7d05defeee0"/>
    <ds:schemaRef ds:uri="1302df7f-88d7-4de7-95a7-124321c940f0"/>
    <ds:schemaRef ds:uri="8f7a92c5-f891-48be-92b1-40f67a03cf11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DFEC542C-BCC6-45BF-9231-665DF02B84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302df7f-88d7-4de7-95a7-124321c940f0"/>
    <ds:schemaRef ds:uri="8f7a92c5-f891-48be-92b1-40f67a03cf11"/>
    <ds:schemaRef ds:uri="7d1875c7-ea51-4db7-9f6e-d358eeae47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BE0892F-05EF-4171-852E-4FE511084F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BHoM_CallersHidden</vt:lpstr>
      <vt:lpstr>Steel Reuse Dashboard</vt:lpstr>
      <vt:lpstr>Inputs</vt:lpstr>
      <vt:lpstr>Total Table</vt:lpstr>
      <vt:lpstr>UC</vt:lpstr>
      <vt:lpstr>CHS</vt:lpstr>
      <vt:lpstr>SHS and RHS</vt:lpstr>
      <vt:lpstr>RHS</vt:lpstr>
      <vt:lpstr>PFC and FB</vt:lpstr>
      <vt:lpstr>UB</vt:lpstr>
      <vt:lpstr>elCutOffLength</vt:lpstr>
      <vt:lpstr>minLength</vt:lpstr>
      <vt:lpstr>roundDownLength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Melissa Ruckert</dc:creator>
  <cp:keywords/>
  <dc:description/>
  <cp:lastModifiedBy>Giorgio Albieri</cp:lastModifiedBy>
  <cp:revision/>
  <cp:lastPrinted>2025-02-20T12:25:14Z</cp:lastPrinted>
  <dcterms:created xsi:type="dcterms:W3CDTF">2024-03-04T19:20:07Z</dcterms:created>
  <dcterms:modified xsi:type="dcterms:W3CDTF">2025-02-20T15:56:13Z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HoM_Guid">
    <vt:lpwstr>3bf50add-0134-4006-a7ae-19b6e1d0cc44</vt:lpwstr>
  </property>
  <property fmtid="{D5CDD505-2E9C-101B-9397-08002B2CF9AE}" pid="3" name="ContentTypeId">
    <vt:lpwstr>0x010100BB67435D7FBBBA47ADFC347CB144427F</vt:lpwstr>
  </property>
  <property fmtid="{D5CDD505-2E9C-101B-9397-08002B2CF9AE}" pid="4" name="MediaServiceImageTags">
    <vt:lpwstr/>
  </property>
  <property fmtid="{D5CDD505-2E9C-101B-9397-08002B2CF9AE}" pid="5" name="Discipline">
    <vt:lpwstr/>
  </property>
  <property fmtid="{D5CDD505-2E9C-101B-9397-08002B2CF9AE}" pid="6" name="Office of Idea's Origin">
    <vt:lpwstr/>
  </property>
  <property fmtid="{D5CDD505-2E9C-101B-9397-08002B2CF9AE}" pid="7" name="Office_x0020_of_x0020_Idea_x0027_s_x0020_Origin">
    <vt:lpwstr/>
  </property>
</Properties>
</file>